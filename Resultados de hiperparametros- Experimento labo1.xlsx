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dos hiperparametros sin data d" sheetId="1" r:id="rId4"/>
    <sheet state="visible" name="Rdos hiperparemetros sin DD(Ana" sheetId="2" r:id="rId5"/>
    <sheet state="visible" name="Resultados experimentos con SDD" sheetId="3" r:id="rId6"/>
    <sheet state="visible" name="Conclusiones" sheetId="4" r:id="rId7"/>
    <sheet state="visible" name="Hoja 5" sheetId="5" r:id="rId8"/>
  </sheets>
  <definedNames>
    <definedName hidden="1" localSheetId="0" name="_xlnm._FilterDatabase">'Rdos hiperparametros sin data d'!$A$1:$M$12</definedName>
    <definedName hidden="1" localSheetId="1" name="_xlnm._FilterDatabase">'Rdos hiperparemetros sin DD(Ana'!$A$2:$K$24</definedName>
    <definedName hidden="1" localSheetId="2" name="_xlnm._FilterDatabase">'Resultados experimentos con SDD'!$A$2:$M$13</definedName>
  </definedNames>
  <calcPr/>
</workbook>
</file>

<file path=xl/sharedStrings.xml><?xml version="1.0" encoding="utf-8"?>
<sst xmlns="http://schemas.openxmlformats.org/spreadsheetml/2006/main" count="676" uniqueCount="43">
  <si>
    <t>Semilla</t>
  </si>
  <si>
    <t>itinerations</t>
  </si>
  <si>
    <t>max_bin</t>
  </si>
  <si>
    <t>learning_rate</t>
  </si>
  <si>
    <t>feature_fraction</t>
  </si>
  <si>
    <t>baggin_fraction</t>
  </si>
  <si>
    <t>bagging_freq</t>
  </si>
  <si>
    <t>num_itinerations</t>
  </si>
  <si>
    <t>early_stopping_round</t>
  </si>
  <si>
    <t>Ramas</t>
  </si>
  <si>
    <t>maxintegerparam(num_leaves, upper:)</t>
  </si>
  <si>
    <t>maxintegerparam(min_data_in:leaft, upper:)</t>
  </si>
  <si>
    <t>Ganancia</t>
  </si>
  <si>
    <t>TIME:</t>
  </si>
  <si>
    <t>-</t>
  </si>
  <si>
    <t>Analia</t>
  </si>
  <si>
    <t>0,03</t>
  </si>
  <si>
    <t>0,5</t>
  </si>
  <si>
    <t>2.863,00</t>
  </si>
  <si>
    <t>0,93</t>
  </si>
  <si>
    <t>5.186,00</t>
  </si>
  <si>
    <t>4.345,00</t>
  </si>
  <si>
    <t>914,00</t>
  </si>
  <si>
    <t>7.454,00</t>
  </si>
  <si>
    <t>3.188,00</t>
  </si>
  <si>
    <t>6.284,00</t>
  </si>
  <si>
    <t>1.123,00</t>
  </si>
  <si>
    <t>948,00</t>
  </si>
  <si>
    <t>1.362,00</t>
  </si>
  <si>
    <t>1.109,00</t>
  </si>
  <si>
    <t>SANTIAGO</t>
  </si>
  <si>
    <t>AJUSTADA POR INFLACIÓN</t>
  </si>
  <si>
    <t>AJUSTADA INDICE DOLAR</t>
  </si>
  <si>
    <t>Diferencia</t>
  </si>
  <si>
    <t>AJUSTE</t>
  </si>
  <si>
    <t xml:space="preserve">Santiago corriendo </t>
  </si>
  <si>
    <t>DOLAR</t>
  </si>
  <si>
    <t>analia</t>
  </si>
  <si>
    <t>ANA</t>
  </si>
  <si>
    <t>4,19</t>
  </si>
  <si>
    <t>4,25</t>
  </si>
  <si>
    <t>4,16</t>
  </si>
  <si>
    <t>AJUSTE GANADOR EN $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</si>
</sst>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1">
    <font>
      <sz val="10.0"/>
      <color rgb="FF000000"/>
      <name val="Arial"/>
      <scheme val="minor"/>
    </font>
    <font>
      <sz val="13.0"/>
      <color rgb="FF000000"/>
      <name val="Calibri"/>
    </font>
    <font>
      <sz val="13.0"/>
      <color theme="1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b/>
      <sz val="11.0"/>
      <color rgb="FF000000"/>
      <name val="Calibri"/>
    </font>
    <font>
      <b/>
      <sz val="13.0"/>
      <color rgb="FF000000"/>
      <name val="Calibri"/>
    </font>
    <font>
      <b/>
      <color theme="1"/>
      <name val="Arial"/>
      <scheme val="minor"/>
    </font>
    <font>
      <sz val="14.0"/>
      <color theme="1"/>
      <name val="Arial"/>
      <scheme val="minor"/>
    </font>
    <font>
      <b/>
      <sz val="14.0"/>
      <color theme="1"/>
      <name val="Arial"/>
      <scheme val="minor"/>
    </font>
    <font/>
  </fonts>
  <fills count="1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B4C6E7"/>
        <bgColor rgb="FFB4C6E7"/>
      </patternFill>
    </fill>
    <fill>
      <patternFill patternType="solid">
        <fgColor rgb="FFD5A6BD"/>
        <bgColor rgb="FFD5A6BD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B4A7D6"/>
        <bgColor rgb="FFB4A7D6"/>
      </patternFill>
    </fill>
  </fills>
  <borders count="3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1" numFmtId="4" xfId="0" applyAlignment="1" applyBorder="1" applyFont="1" applyNumberFormat="1">
      <alignment readingOrder="0" shrinkToFit="0" vertical="bottom" wrapText="0"/>
    </xf>
    <xf borderId="1" fillId="0" fontId="1" numFmtId="164" xfId="0" applyAlignment="1" applyBorder="1" applyFont="1" applyNumberFormat="1">
      <alignment readingOrder="0" shrinkToFit="0" vertical="bottom" wrapText="0"/>
    </xf>
    <xf borderId="0" fillId="2" fontId="2" numFmtId="0" xfId="0" applyFill="1" applyFont="1"/>
    <xf borderId="0" fillId="0" fontId="2" numFmtId="0" xfId="0" applyFont="1"/>
    <xf borderId="1" fillId="3" fontId="3" numFmtId="0" xfId="0" applyAlignment="1" applyBorder="1" applyFill="1" applyFont="1">
      <alignment horizontal="right" readingOrder="0" shrinkToFit="0" vertical="bottom" wrapText="0"/>
    </xf>
    <xf borderId="1" fillId="3" fontId="3" numFmtId="0" xfId="0" applyAlignment="1" applyBorder="1" applyFont="1">
      <alignment horizontal="center" readingOrder="0" shrinkToFit="0" vertical="bottom" wrapText="0"/>
    </xf>
    <xf borderId="1" fillId="3" fontId="3" numFmtId="4" xfId="0" applyAlignment="1" applyBorder="1" applyFont="1" applyNumberFormat="1">
      <alignment horizontal="right" readingOrder="0" shrinkToFit="0" vertical="bottom" wrapText="0"/>
    </xf>
    <xf borderId="1" fillId="3" fontId="3" numFmtId="164" xfId="0" applyAlignment="1" applyBorder="1" applyFont="1" applyNumberFormat="1">
      <alignment horizontal="right" readingOrder="0" shrinkToFit="0" vertical="bottom" wrapText="0"/>
    </xf>
    <xf borderId="0" fillId="2" fontId="4" numFmtId="20" xfId="0" applyAlignment="1" applyFont="1" applyNumberFormat="1">
      <alignment readingOrder="0"/>
    </xf>
    <xf borderId="0" fillId="2" fontId="4" numFmtId="0" xfId="0" applyFont="1"/>
    <xf borderId="0" fillId="0" fontId="4" numFmtId="4" xfId="0" applyFont="1" applyNumberFormat="1"/>
    <xf borderId="0" fillId="0" fontId="4" numFmtId="164" xfId="0" applyFont="1" applyNumberFormat="1"/>
    <xf borderId="0" fillId="4" fontId="5" numFmtId="0" xfId="0" applyAlignment="1" applyFill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164" xfId="0" applyAlignment="1" applyFont="1" applyNumberFormat="1">
      <alignment readingOrder="0" shrinkToFit="0" vertical="bottom" wrapText="0"/>
    </xf>
    <xf borderId="1" fillId="5" fontId="3" numFmtId="0" xfId="0" applyAlignment="1" applyBorder="1" applyFill="1" applyFont="1">
      <alignment horizontal="right" readingOrder="0" shrinkToFit="0" vertical="bottom" wrapText="0"/>
    </xf>
    <xf borderId="1" fillId="5" fontId="3" numFmtId="164" xfId="0" applyAlignment="1" applyBorder="1" applyFont="1" applyNumberFormat="1">
      <alignment shrinkToFit="0" vertical="bottom" wrapText="0"/>
    </xf>
    <xf borderId="1" fillId="5" fontId="3" numFmtId="0" xfId="0" applyAlignment="1" applyBorder="1" applyFont="1">
      <alignment shrinkToFit="0" vertical="bottom" wrapText="0"/>
    </xf>
    <xf borderId="0" fillId="6" fontId="6" numFmtId="0" xfId="0" applyAlignment="1" applyFill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4" xfId="0" applyAlignment="1" applyFont="1" applyNumberFormat="1">
      <alignment horizontal="center" readingOrder="0" shrinkToFit="0" vertical="bottom" wrapText="0"/>
    </xf>
    <xf borderId="0" fillId="0" fontId="1" numFmtId="164" xfId="0" applyAlignment="1" applyFont="1" applyNumberFormat="1">
      <alignment horizontal="center" readingOrder="0" shrinkToFit="0" vertical="bottom" wrapText="0"/>
    </xf>
    <xf borderId="0" fillId="0" fontId="4" numFmtId="0" xfId="0" applyAlignment="1" applyFont="1">
      <alignment horizontal="center"/>
    </xf>
    <xf borderId="0" fillId="0" fontId="7" numFmtId="0" xfId="0" applyAlignment="1" applyFont="1">
      <alignment horizontal="center" readingOrder="0"/>
    </xf>
    <xf borderId="0" fillId="7" fontId="6" numFmtId="0" xfId="0" applyAlignment="1" applyFill="1" applyFont="1">
      <alignment horizontal="center" readingOrder="0"/>
    </xf>
    <xf borderId="0" fillId="0" fontId="6" numFmtId="164" xfId="0" applyAlignment="1" applyFont="1" applyNumberFormat="1">
      <alignment horizontal="center" readingOrder="0"/>
    </xf>
    <xf borderId="0" fillId="8" fontId="6" numFmtId="0" xfId="0" applyAlignment="1" applyFill="1" applyFont="1">
      <alignment horizontal="center" readingOrder="0"/>
    </xf>
    <xf borderId="0" fillId="0" fontId="6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 shrinkToFit="0" vertical="bottom" wrapText="0"/>
    </xf>
    <xf borderId="1" fillId="0" fontId="1" numFmtId="4" xfId="0" applyAlignment="1" applyBorder="1" applyFont="1" applyNumberFormat="1">
      <alignment horizontal="center" readingOrder="0" shrinkToFit="0" vertical="bottom" wrapText="0"/>
    </xf>
    <xf borderId="1" fillId="0" fontId="1" numFmtId="164" xfId="0" applyAlignment="1" applyBorder="1" applyFont="1" applyNumberFormat="1">
      <alignment horizontal="center" readingOrder="0" shrinkToFit="0" vertical="bottom" wrapText="0"/>
    </xf>
    <xf borderId="1" fillId="0" fontId="7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1" fillId="0" fontId="6" numFmtId="164" xfId="0" applyAlignment="1" applyBorder="1" applyFont="1" applyNumberFormat="1">
      <alignment horizontal="center" readingOrder="0"/>
    </xf>
    <xf borderId="1" fillId="3" fontId="3" numFmtId="0" xfId="0" applyAlignment="1" applyBorder="1" applyFont="1">
      <alignment horizontal="center" shrinkToFit="0" vertical="bottom" wrapText="0"/>
    </xf>
    <xf borderId="1" fillId="3" fontId="3" numFmtId="4" xfId="0" applyAlignment="1" applyBorder="1" applyFont="1" applyNumberFormat="1">
      <alignment horizontal="center" readingOrder="0" shrinkToFit="0" vertical="bottom" wrapText="0"/>
    </xf>
    <xf borderId="1" fillId="3" fontId="3" numFmtId="4" xfId="0" applyAlignment="1" applyBorder="1" applyFont="1" applyNumberFormat="1">
      <alignment horizontal="center" shrinkToFit="0" vertical="bottom" wrapText="0"/>
    </xf>
    <xf borderId="1" fillId="3" fontId="3" numFmtId="164" xfId="0" applyAlignment="1" applyBorder="1" applyFont="1" applyNumberFormat="1">
      <alignment horizontal="center" readingOrder="0" shrinkToFit="0" vertical="bottom" wrapText="0"/>
    </xf>
    <xf borderId="1" fillId="0" fontId="4" numFmtId="164" xfId="0" applyAlignment="1" applyBorder="1" applyFont="1" applyNumberFormat="1">
      <alignment horizontal="center"/>
    </xf>
    <xf borderId="1" fillId="9" fontId="3" numFmtId="0" xfId="0" applyAlignment="1" applyBorder="1" applyFill="1" applyFont="1">
      <alignment horizontal="center" vertical="bottom"/>
    </xf>
    <xf borderId="2" fillId="9" fontId="3" numFmtId="0" xfId="0" applyAlignment="1" applyBorder="1" applyFont="1">
      <alignment horizontal="center" readingOrder="0" vertical="bottom"/>
    </xf>
    <xf borderId="2" fillId="9" fontId="3" numFmtId="4" xfId="0" applyAlignment="1" applyBorder="1" applyFont="1" applyNumberFormat="1">
      <alignment horizontal="center" readingOrder="0" vertical="bottom"/>
    </xf>
    <xf borderId="2" fillId="9" fontId="3" numFmtId="164" xfId="0" applyAlignment="1" applyBorder="1" applyFont="1" applyNumberFormat="1">
      <alignment horizontal="center" readingOrder="0" vertical="bottom"/>
    </xf>
    <xf borderId="0" fillId="0" fontId="3" numFmtId="164" xfId="0" applyAlignment="1" applyFont="1" applyNumberFormat="1">
      <alignment horizontal="center" readingOrder="0" vertical="bottom"/>
    </xf>
    <xf borderId="1" fillId="10" fontId="3" numFmtId="0" xfId="0" applyAlignment="1" applyBorder="1" applyFill="1" applyFont="1">
      <alignment horizontal="center" vertical="bottom"/>
    </xf>
    <xf borderId="2" fillId="10" fontId="3" numFmtId="0" xfId="0" applyAlignment="1" applyBorder="1" applyFont="1">
      <alignment horizontal="center" readingOrder="0" vertical="bottom"/>
    </xf>
    <xf borderId="2" fillId="10" fontId="3" numFmtId="4" xfId="0" applyAlignment="1" applyBorder="1" applyFont="1" applyNumberFormat="1">
      <alignment horizontal="center" readingOrder="0" vertical="bottom"/>
    </xf>
    <xf borderId="2" fillId="10" fontId="3" numFmtId="164" xfId="0" applyAlignment="1" applyBorder="1" applyFont="1" applyNumberFormat="1">
      <alignment horizontal="center" readingOrder="0" vertical="bottom"/>
    </xf>
    <xf borderId="3" fillId="9" fontId="3" numFmtId="0" xfId="0" applyAlignment="1" applyBorder="1" applyFont="1">
      <alignment horizontal="center" vertical="bottom"/>
    </xf>
    <xf borderId="1" fillId="9" fontId="3" numFmtId="0" xfId="0" applyAlignment="1" applyBorder="1" applyFont="1">
      <alignment horizontal="center" readingOrder="0" vertical="bottom"/>
    </xf>
    <xf borderId="1" fillId="9" fontId="3" numFmtId="4" xfId="0" applyAlignment="1" applyBorder="1" applyFont="1" applyNumberFormat="1">
      <alignment horizontal="center" readingOrder="0" vertical="bottom"/>
    </xf>
    <xf borderId="4" fillId="9" fontId="3" numFmtId="164" xfId="0" applyAlignment="1" applyBorder="1" applyFont="1" applyNumberFormat="1">
      <alignment horizontal="center" readingOrder="0" vertical="bottom"/>
    </xf>
    <xf borderId="3" fillId="10" fontId="3" numFmtId="0" xfId="0" applyAlignment="1" applyBorder="1" applyFont="1">
      <alignment horizontal="center" vertical="bottom"/>
    </xf>
    <xf borderId="1" fillId="10" fontId="3" numFmtId="0" xfId="0" applyAlignment="1" applyBorder="1" applyFont="1">
      <alignment horizontal="center" readingOrder="0" vertical="bottom"/>
    </xf>
    <xf borderId="1" fillId="10" fontId="3" numFmtId="4" xfId="0" applyAlignment="1" applyBorder="1" applyFont="1" applyNumberFormat="1">
      <alignment horizontal="center" readingOrder="0" vertical="bottom"/>
    </xf>
    <xf borderId="4" fillId="10" fontId="3" numFmtId="164" xfId="0" applyAlignment="1" applyBorder="1" applyFont="1" applyNumberFormat="1">
      <alignment horizontal="center" readingOrder="0" vertical="bottom"/>
    </xf>
    <xf borderId="4" fillId="9" fontId="3" numFmtId="0" xfId="0" applyAlignment="1" applyBorder="1" applyFont="1">
      <alignment horizontal="center" readingOrder="0" vertical="bottom"/>
    </xf>
    <xf borderId="4" fillId="9" fontId="3" numFmtId="4" xfId="0" applyAlignment="1" applyBorder="1" applyFont="1" applyNumberFormat="1">
      <alignment horizontal="center" readingOrder="0" vertical="bottom"/>
    </xf>
    <xf borderId="4" fillId="10" fontId="3" numFmtId="0" xfId="0" applyAlignment="1" applyBorder="1" applyFont="1">
      <alignment horizontal="center" readingOrder="0" vertical="bottom"/>
    </xf>
    <xf borderId="4" fillId="10" fontId="3" numFmtId="4" xfId="0" applyAlignment="1" applyBorder="1" applyFont="1" applyNumberFormat="1">
      <alignment horizontal="center" readingOrder="0" vertical="bottom"/>
    </xf>
    <xf borderId="0" fillId="0" fontId="4" numFmtId="164" xfId="0" applyAlignment="1" applyFont="1" applyNumberFormat="1">
      <alignment horizontal="center"/>
    </xf>
    <xf borderId="1" fillId="4" fontId="7" numFmtId="164" xfId="0" applyAlignment="1" applyBorder="1" applyFont="1" applyNumberFormat="1">
      <alignment horizontal="center"/>
    </xf>
    <xf borderId="0" fillId="0" fontId="7" numFmtId="164" xfId="0" applyAlignment="1" applyFont="1" applyNumberFormat="1">
      <alignment horizontal="center" readingOrder="0"/>
    </xf>
    <xf borderId="0" fillId="11" fontId="3" numFmtId="164" xfId="0" applyAlignment="1" applyFill="1" applyFont="1" applyNumberFormat="1">
      <alignment horizontal="center" readingOrder="0" shrinkToFit="0" vertical="bottom" wrapText="1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6" numFmtId="4" xfId="0" applyAlignment="1" applyBorder="1" applyFont="1" applyNumberFormat="1">
      <alignment horizontal="center" readingOrder="0" shrinkToFit="0" vertical="bottom" wrapText="0"/>
    </xf>
    <xf borderId="1" fillId="0" fontId="6" numFmtId="164" xfId="0" applyAlignment="1" applyBorder="1" applyFont="1" applyNumberFormat="1">
      <alignment horizontal="center" readingOrder="0" shrinkToFit="0" vertical="bottom" wrapText="0"/>
    </xf>
    <xf borderId="1" fillId="9" fontId="3" numFmtId="0" xfId="0" applyAlignment="1" applyBorder="1" applyFont="1">
      <alignment horizontal="center" readingOrder="0" shrinkToFit="0" vertical="bottom" wrapText="0"/>
    </xf>
    <xf borderId="1" fillId="10" fontId="3" numFmtId="0" xfId="0" applyAlignment="1" applyBorder="1" applyFont="1">
      <alignment horizontal="center" readingOrder="0" shrinkToFit="0" vertical="bottom" wrapText="0"/>
    </xf>
    <xf borderId="0" fillId="12" fontId="4" numFmtId="0" xfId="0" applyAlignment="1" applyFill="1" applyFont="1">
      <alignment horizontal="center" readingOrder="0"/>
    </xf>
    <xf borderId="0" fillId="11" fontId="3" numFmtId="164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readingOrder="0"/>
    </xf>
    <xf borderId="2" fillId="3" fontId="3" numFmtId="0" xfId="0" applyAlignment="1" applyBorder="1" applyFont="1">
      <alignment horizontal="center" readingOrder="0" vertical="bottom"/>
    </xf>
    <xf borderId="2" fillId="3" fontId="3" numFmtId="4" xfId="0" applyAlignment="1" applyBorder="1" applyFont="1" applyNumberFormat="1">
      <alignment horizontal="center" readingOrder="0" vertical="bottom"/>
    </xf>
    <xf borderId="1" fillId="9" fontId="3" numFmtId="164" xfId="0" applyAlignment="1" applyBorder="1" applyFont="1" applyNumberFormat="1">
      <alignment horizontal="center" readingOrder="0" shrinkToFit="0" vertical="bottom" wrapText="0"/>
    </xf>
    <xf borderId="0" fillId="3" fontId="4" numFmtId="0" xfId="0" applyFont="1"/>
    <xf borderId="0" fillId="0" fontId="8" numFmtId="0" xfId="0" applyAlignment="1" applyFont="1">
      <alignment horizontal="center"/>
    </xf>
    <xf borderId="0" fillId="0" fontId="8" numFmtId="164" xfId="0" applyAlignment="1" applyFont="1" applyNumberFormat="1">
      <alignment horizontal="center"/>
    </xf>
    <xf borderId="0" fillId="3" fontId="4" numFmtId="0" xfId="0" applyAlignment="1" applyFont="1">
      <alignment horizontal="center"/>
    </xf>
    <xf borderId="1" fillId="3" fontId="3" numFmtId="0" xfId="0" applyAlignment="1" applyBorder="1" applyFont="1">
      <alignment horizontal="center" readingOrder="0" vertical="bottom"/>
    </xf>
    <xf borderId="4" fillId="3" fontId="3" numFmtId="0" xfId="0" applyAlignment="1" applyBorder="1" applyFont="1">
      <alignment horizontal="center" readingOrder="0" vertical="bottom"/>
    </xf>
    <xf borderId="0" fillId="13" fontId="3" numFmtId="164" xfId="0" applyAlignment="1" applyFill="1" applyFont="1" applyNumberFormat="1">
      <alignment horizontal="center" readingOrder="0" vertical="center"/>
    </xf>
    <xf borderId="1" fillId="0" fontId="4" numFmtId="0" xfId="0" applyAlignment="1" applyBorder="1" applyFont="1">
      <alignment horizontal="center" readingOrder="0"/>
    </xf>
    <xf borderId="0" fillId="0" fontId="7" numFmtId="0" xfId="0" applyAlignment="1" applyFont="1">
      <alignment horizontal="center" readingOrder="0" shrinkToFit="0" vertical="center" wrapText="1"/>
    </xf>
    <xf borderId="1" fillId="0" fontId="4" numFmtId="3" xfId="0" applyAlignment="1" applyBorder="1" applyFont="1" applyNumberFormat="1">
      <alignment horizontal="center" readingOrder="0"/>
    </xf>
    <xf borderId="1" fillId="10" fontId="3" numFmtId="164" xfId="0" applyAlignment="1" applyBorder="1" applyFont="1" applyNumberFormat="1">
      <alignment horizontal="center" readingOrder="0" vertical="bottom"/>
    </xf>
    <xf borderId="1" fillId="0" fontId="6" numFmtId="3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 readingOrder="0" vertical="bottom"/>
    </xf>
    <xf borderId="0" fillId="0" fontId="4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164" xfId="0" applyAlignment="1" applyFont="1" applyNumberFormat="1">
      <alignment horizontal="center" vertical="bottom"/>
    </xf>
    <xf borderId="0" fillId="0" fontId="7" numFmtId="164" xfId="0" applyAlignment="1" applyFont="1" applyNumberFormat="1">
      <alignment horizontal="center"/>
    </xf>
    <xf borderId="0" fillId="0" fontId="3" numFmtId="0" xfId="0" applyAlignment="1" applyFont="1">
      <alignment horizontal="center" readingOrder="0" vertical="bottom"/>
    </xf>
    <xf borderId="1" fillId="12" fontId="9" numFmtId="164" xfId="0" applyAlignment="1" applyBorder="1" applyFont="1" applyNumberFormat="1">
      <alignment horizontal="center"/>
    </xf>
    <xf borderId="0" fillId="0" fontId="3" numFmtId="4" xfId="0" applyAlignment="1" applyFont="1" applyNumberFormat="1">
      <alignment horizontal="center" readingOrder="0" vertical="bottom"/>
    </xf>
    <xf borderId="0" fillId="3" fontId="7" numFmtId="164" xfId="0" applyAlignment="1" applyFont="1" applyNumberFormat="1">
      <alignment horizontal="center" readingOrder="0"/>
    </xf>
    <xf borderId="0" fillId="3" fontId="5" numFmtId="164" xfId="0" applyAlignment="1" applyFont="1" applyNumberFormat="1">
      <alignment horizontal="center" readingOrder="0" shrinkToFit="0" vertical="bottom" wrapText="0"/>
    </xf>
    <xf borderId="0" fillId="0" fontId="4" numFmtId="4" xfId="0" applyAlignment="1" applyFont="1" applyNumberFormat="1">
      <alignment horizontal="center" readingOrder="0"/>
    </xf>
    <xf borderId="0" fillId="0" fontId="6" numFmtId="164" xfId="0" applyAlignment="1" applyFont="1" applyNumberFormat="1">
      <alignment horizontal="center"/>
    </xf>
    <xf borderId="0" fillId="0" fontId="6" numFmtId="4" xfId="0" applyAlignment="1" applyFont="1" applyNumberFormat="1">
      <alignment horizontal="center" readingOrder="0"/>
    </xf>
    <xf borderId="5" fillId="7" fontId="6" numFmtId="0" xfId="0" applyAlignment="1" applyBorder="1" applyFont="1">
      <alignment horizontal="center" readingOrder="0"/>
    </xf>
    <xf borderId="6" fillId="0" fontId="10" numFmtId="0" xfId="0" applyBorder="1" applyFont="1"/>
    <xf borderId="7" fillId="0" fontId="10" numFmtId="0" xfId="0" applyBorder="1" applyFont="1"/>
    <xf borderId="5" fillId="8" fontId="6" numFmtId="0" xfId="0" applyAlignment="1" applyBorder="1" applyFont="1">
      <alignment horizontal="center" readingOrder="0"/>
    </xf>
    <xf borderId="8" fillId="0" fontId="6" numFmtId="0" xfId="0" applyAlignment="1" applyBorder="1" applyFont="1">
      <alignment horizontal="center" readingOrder="0"/>
    </xf>
    <xf borderId="9" fillId="0" fontId="6" numFmtId="0" xfId="0" applyAlignment="1" applyBorder="1" applyFont="1">
      <alignment horizontal="center" readingOrder="0"/>
    </xf>
    <xf borderId="10" fillId="0" fontId="6" numFmtId="164" xfId="0" applyAlignment="1" applyBorder="1" applyFont="1" applyNumberFormat="1">
      <alignment horizontal="center" readingOrder="0"/>
    </xf>
    <xf borderId="11" fillId="0" fontId="6" numFmtId="0" xfId="0" applyAlignment="1" applyBorder="1" applyFont="1">
      <alignment horizontal="center" readingOrder="0"/>
    </xf>
    <xf borderId="12" fillId="0" fontId="6" numFmtId="0" xfId="0" applyAlignment="1" applyBorder="1" applyFont="1">
      <alignment horizontal="center" readingOrder="0"/>
    </xf>
    <xf borderId="13" fillId="0" fontId="6" numFmtId="164" xfId="0" applyAlignment="1" applyBorder="1" applyFont="1" applyNumberFormat="1">
      <alignment horizontal="center" readingOrder="0"/>
    </xf>
    <xf borderId="14" fillId="9" fontId="3" numFmtId="0" xfId="0" applyAlignment="1" applyBorder="1" applyFont="1">
      <alignment horizontal="center" vertical="bottom"/>
    </xf>
    <xf borderId="15" fillId="9" fontId="3" numFmtId="0" xfId="0" applyAlignment="1" applyBorder="1" applyFont="1">
      <alignment horizontal="center" readingOrder="0" vertical="bottom"/>
    </xf>
    <xf borderId="16" fillId="9" fontId="3" numFmtId="164" xfId="0" applyAlignment="1" applyBorder="1" applyFont="1" applyNumberFormat="1">
      <alignment horizontal="center" readingOrder="0" vertical="bottom"/>
    </xf>
    <xf borderId="17" fillId="10" fontId="3" numFmtId="0" xfId="0" applyAlignment="1" applyBorder="1" applyFont="1">
      <alignment horizontal="center" vertical="bottom"/>
    </xf>
    <xf borderId="18" fillId="10" fontId="3" numFmtId="164" xfId="0" applyAlignment="1" applyBorder="1" applyFont="1" applyNumberFormat="1">
      <alignment horizontal="center" readingOrder="0" vertical="bottom"/>
    </xf>
    <xf borderId="17" fillId="9" fontId="3" numFmtId="0" xfId="0" applyAlignment="1" applyBorder="1" applyFont="1">
      <alignment horizontal="center" vertical="bottom"/>
    </xf>
    <xf borderId="19" fillId="9" fontId="3" numFmtId="164" xfId="0" applyAlignment="1" applyBorder="1" applyFont="1" applyNumberFormat="1">
      <alignment horizontal="center" readingOrder="0" vertical="bottom"/>
    </xf>
    <xf borderId="20" fillId="9" fontId="3" numFmtId="0" xfId="0" applyAlignment="1" applyBorder="1" applyFont="1">
      <alignment horizontal="center" vertical="bottom"/>
    </xf>
    <xf borderId="21" fillId="9" fontId="3" numFmtId="0" xfId="0" applyAlignment="1" applyBorder="1" applyFont="1">
      <alignment horizontal="center" readingOrder="0" vertical="bottom"/>
    </xf>
    <xf borderId="12" fillId="9" fontId="3" numFmtId="164" xfId="0" applyAlignment="1" applyBorder="1" applyFont="1" applyNumberFormat="1">
      <alignment horizontal="center" readingOrder="0" vertical="bottom"/>
    </xf>
    <xf borderId="20" fillId="10" fontId="3" numFmtId="0" xfId="0" applyAlignment="1" applyBorder="1" applyFont="1">
      <alignment horizontal="center" vertical="bottom"/>
    </xf>
    <xf borderId="21" fillId="10" fontId="3" numFmtId="0" xfId="0" applyAlignment="1" applyBorder="1" applyFont="1">
      <alignment horizontal="center" readingOrder="0" vertical="bottom"/>
    </xf>
    <xf borderId="13" fillId="10" fontId="3" numFmtId="164" xfId="0" applyAlignment="1" applyBorder="1" applyFont="1" applyNumberFormat="1">
      <alignment horizontal="center" readingOrder="0" vertical="bottom"/>
    </xf>
    <xf borderId="14" fillId="9" fontId="3" numFmtId="0" xfId="0" applyAlignment="1" applyBorder="1" applyFont="1">
      <alignment horizontal="center" readingOrder="0" vertical="bottom"/>
    </xf>
    <xf borderId="14" fillId="10" fontId="3" numFmtId="0" xfId="0" applyAlignment="1" applyBorder="1" applyFont="1">
      <alignment horizontal="center" readingOrder="0" vertical="bottom"/>
    </xf>
    <xf borderId="15" fillId="10" fontId="3" numFmtId="0" xfId="0" applyAlignment="1" applyBorder="1" applyFont="1">
      <alignment horizontal="center" readingOrder="0" vertical="bottom"/>
    </xf>
    <xf borderId="22" fillId="10" fontId="3" numFmtId="164" xfId="0" applyAlignment="1" applyBorder="1" applyFont="1" applyNumberFormat="1">
      <alignment horizontal="center" readingOrder="0" vertical="bottom"/>
    </xf>
    <xf borderId="23" fillId="9" fontId="3" numFmtId="0" xfId="0" applyAlignment="1" applyBorder="1" applyFont="1">
      <alignment horizontal="center" readingOrder="0" vertical="bottom"/>
    </xf>
    <xf borderId="23" fillId="10" fontId="3" numFmtId="0" xfId="0" applyAlignment="1" applyBorder="1" applyFont="1">
      <alignment horizontal="center" readingOrder="0" vertical="bottom"/>
    </xf>
    <xf borderId="8" fillId="9" fontId="3" numFmtId="0" xfId="0" applyAlignment="1" applyBorder="1" applyFont="1">
      <alignment horizontal="center" readingOrder="0" vertical="bottom"/>
    </xf>
    <xf borderId="8" fillId="10" fontId="3" numFmtId="0" xfId="0" applyAlignment="1" applyBorder="1" applyFont="1">
      <alignment horizontal="center" readingOrder="0" vertical="bottom"/>
    </xf>
    <xf borderId="14" fillId="9" fontId="3" numFmtId="0" xfId="0" applyAlignment="1" applyBorder="1" applyFont="1">
      <alignment horizontal="center" readingOrder="0" shrinkToFit="0" vertical="bottom" wrapText="0"/>
    </xf>
    <xf borderId="14" fillId="10" fontId="3" numFmtId="0" xfId="0" applyAlignment="1" applyBorder="1" applyFont="1">
      <alignment horizontal="center" readingOrder="0" shrinkToFit="0" vertical="bottom" wrapText="0"/>
    </xf>
    <xf borderId="24" fillId="9" fontId="3" numFmtId="0" xfId="0" applyAlignment="1" applyBorder="1" applyFont="1">
      <alignment horizontal="center" readingOrder="0" shrinkToFit="0" vertical="bottom" wrapText="0"/>
    </xf>
    <xf borderId="25" fillId="9" fontId="3" numFmtId="164" xfId="0" applyAlignment="1" applyBorder="1" applyFont="1" applyNumberFormat="1">
      <alignment horizontal="center" readingOrder="0" shrinkToFit="0" vertical="bottom" wrapText="0"/>
    </xf>
    <xf borderId="23" fillId="9" fontId="3" numFmtId="0" xfId="0" applyAlignment="1" applyBorder="1" applyFont="1">
      <alignment horizontal="center" readingOrder="0" shrinkToFit="0" vertical="bottom" wrapText="0"/>
    </xf>
    <xf borderId="26" fillId="9" fontId="3" numFmtId="164" xfId="0" applyAlignment="1" applyBorder="1" applyFont="1" applyNumberFormat="1">
      <alignment horizontal="center" readingOrder="0" shrinkToFit="0" vertical="bottom" wrapText="0"/>
    </xf>
    <xf borderId="23" fillId="10" fontId="3" numFmtId="0" xfId="0" applyAlignment="1" applyBorder="1" applyFont="1">
      <alignment horizontal="center" readingOrder="0" shrinkToFit="0" vertical="bottom" wrapText="0"/>
    </xf>
    <xf borderId="8" fillId="9" fontId="3" numFmtId="0" xfId="0" applyAlignment="1" applyBorder="1" applyFont="1">
      <alignment horizontal="center" readingOrder="0" shrinkToFit="0" vertical="bottom" wrapText="0"/>
    </xf>
    <xf borderId="10" fillId="9" fontId="3" numFmtId="164" xfId="0" applyAlignment="1" applyBorder="1" applyFont="1" applyNumberFormat="1">
      <alignment horizontal="center" readingOrder="0" shrinkToFit="0" vertical="bottom" wrapText="0"/>
    </xf>
    <xf borderId="8" fillId="10" fontId="3" numFmtId="0" xfId="0" applyAlignment="1" applyBorder="1" applyFont="1">
      <alignment horizontal="center" readingOrder="0" shrinkToFit="0" vertical="bottom" wrapText="0"/>
    </xf>
    <xf borderId="24" fillId="10" fontId="3" numFmtId="0" xfId="0" applyAlignment="1" applyBorder="1" applyFont="1">
      <alignment horizontal="center" readingOrder="0" vertical="bottom"/>
    </xf>
    <xf borderId="27" fillId="10" fontId="3" numFmtId="164" xfId="0" applyAlignment="1" applyBorder="1" applyFont="1" applyNumberFormat="1">
      <alignment horizontal="center" readingOrder="0" vertical="bottom"/>
    </xf>
    <xf borderId="28" fillId="10" fontId="3" numFmtId="164" xfId="0" applyAlignment="1" applyBorder="1" applyFont="1" applyNumberFormat="1">
      <alignment horizontal="center" readingOrder="0" vertical="bottom"/>
    </xf>
    <xf borderId="9" fillId="10" fontId="3" numFmtId="0" xfId="0" applyAlignment="1" applyBorder="1" applyFont="1">
      <alignment horizontal="center" readingOrder="0" vertical="bottom"/>
    </xf>
    <xf borderId="29" fillId="10" fontId="3" numFmtId="164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76200</xdr:colOff>
      <xdr:row>12</xdr:row>
      <xdr:rowOff>28575</xdr:rowOff>
    </xdr:from>
    <xdr:ext cx="6534150" cy="10001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133350</xdr:colOff>
      <xdr:row>0</xdr:row>
      <xdr:rowOff>0</xdr:rowOff>
    </xdr:from>
    <xdr:ext cx="6153150" cy="366712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0"/>
    <col customWidth="1" min="2" max="2" width="13.75"/>
    <col customWidth="1" min="3" max="3" width="11.25"/>
    <col customWidth="1" min="4" max="4" width="15.5"/>
    <col customWidth="1" min="5" max="5" width="18.13"/>
    <col customWidth="1" min="6" max="6" width="17.5"/>
    <col customWidth="1" min="7" max="7" width="15.25"/>
    <col customWidth="1" min="8" max="8" width="19.0"/>
    <col customWidth="1" min="9" max="9" width="23.38"/>
    <col customWidth="1" min="10" max="10" width="9.5"/>
    <col customWidth="1" min="11" max="11" width="38.63"/>
    <col customWidth="1" min="12" max="12" width="43.75"/>
    <col customWidth="1" min="13" max="13" width="11.88"/>
    <col customWidth="1" min="14" max="14" width="11.63"/>
    <col customWidth="1" min="15" max="15" width="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4"/>
      <c r="P1" s="5"/>
      <c r="Q1" s="5"/>
      <c r="R1" s="5"/>
      <c r="S1" s="5"/>
      <c r="T1" s="5"/>
      <c r="U1" s="5"/>
      <c r="V1" s="5"/>
      <c r="W1" s="5"/>
      <c r="X1" s="5"/>
    </row>
    <row r="2">
      <c r="A2" s="6">
        <v>10043.0</v>
      </c>
      <c r="B2" s="6">
        <v>10.0</v>
      </c>
      <c r="C2" s="6">
        <v>31.0</v>
      </c>
      <c r="D2" s="6">
        <v>0.03</v>
      </c>
      <c r="E2" s="6">
        <v>0.5</v>
      </c>
      <c r="F2" s="7" t="s">
        <v>14</v>
      </c>
      <c r="G2" s="7" t="s">
        <v>14</v>
      </c>
      <c r="H2" s="6">
        <v>2048.0</v>
      </c>
      <c r="I2" s="6">
        <v>200.0</v>
      </c>
      <c r="J2" s="6">
        <v>950.0</v>
      </c>
      <c r="K2" s="8">
        <v>256.0</v>
      </c>
      <c r="L2" s="8">
        <v>8192.0</v>
      </c>
      <c r="M2" s="9">
        <v>2045.0</v>
      </c>
      <c r="N2" s="10">
        <v>0.013888888888888888</v>
      </c>
      <c r="O2" s="11"/>
    </row>
    <row r="3">
      <c r="A3" s="6">
        <v>10043.0</v>
      </c>
      <c r="B3" s="6">
        <v>10.0</v>
      </c>
      <c r="C3" s="6">
        <v>31.0</v>
      </c>
      <c r="D3" s="6">
        <v>0.03</v>
      </c>
      <c r="E3" s="6">
        <v>0.5</v>
      </c>
      <c r="F3" s="7" t="s">
        <v>14</v>
      </c>
      <c r="G3" s="7" t="s">
        <v>14</v>
      </c>
      <c r="H3" s="6">
        <v>2048.0</v>
      </c>
      <c r="I3" s="6">
        <v>200.0</v>
      </c>
      <c r="J3" s="6">
        <v>900.0</v>
      </c>
      <c r="K3" s="8">
        <f t="shared" ref="K3:L3" si="1">K2</f>
        <v>256</v>
      </c>
      <c r="L3" s="8">
        <f t="shared" si="1"/>
        <v>8192</v>
      </c>
      <c r="M3" s="9">
        <v>2184.0</v>
      </c>
      <c r="N3" s="10">
        <v>0.013888888888888888</v>
      </c>
      <c r="O3" s="11"/>
    </row>
    <row r="4">
      <c r="A4" s="6">
        <v>10043.0</v>
      </c>
      <c r="B4" s="6">
        <v>10.0</v>
      </c>
      <c r="C4" s="6">
        <v>31.0</v>
      </c>
      <c r="D4" s="6">
        <v>0.03</v>
      </c>
      <c r="E4" s="6">
        <v>0.5</v>
      </c>
      <c r="F4" s="7" t="s">
        <v>14</v>
      </c>
      <c r="G4" s="7" t="s">
        <v>14</v>
      </c>
      <c r="H4" s="6">
        <v>2048.0</v>
      </c>
      <c r="I4" s="6">
        <v>200.0</v>
      </c>
      <c r="J4" s="6">
        <v>850.0</v>
      </c>
      <c r="K4" s="8">
        <f t="shared" ref="K4:L4" si="2">K3</f>
        <v>256</v>
      </c>
      <c r="L4" s="8">
        <f t="shared" si="2"/>
        <v>8192</v>
      </c>
      <c r="M4" s="9">
        <v>2293.0</v>
      </c>
      <c r="N4" s="10">
        <v>0.013888888888888888</v>
      </c>
      <c r="O4" s="11"/>
    </row>
    <row r="5">
      <c r="A5" s="6">
        <v>10043.0</v>
      </c>
      <c r="B5" s="6">
        <v>10.0</v>
      </c>
      <c r="C5" s="6">
        <v>31.0</v>
      </c>
      <c r="D5" s="6">
        <v>0.03</v>
      </c>
      <c r="E5" s="6">
        <v>0.5</v>
      </c>
      <c r="F5" s="7" t="s">
        <v>14</v>
      </c>
      <c r="G5" s="7" t="s">
        <v>14</v>
      </c>
      <c r="H5" s="6">
        <v>2048.0</v>
      </c>
      <c r="I5" s="6">
        <v>200.0</v>
      </c>
      <c r="J5" s="6">
        <v>1000.0</v>
      </c>
      <c r="K5" s="8">
        <f t="shared" ref="K5:L5" si="3">K4</f>
        <v>256</v>
      </c>
      <c r="L5" s="8">
        <f t="shared" si="3"/>
        <v>8192</v>
      </c>
      <c r="M5" s="9">
        <v>2293.0</v>
      </c>
      <c r="N5" s="10">
        <v>0.013888888888888888</v>
      </c>
      <c r="O5" s="11"/>
    </row>
    <row r="6">
      <c r="A6" s="6">
        <v>10043.0</v>
      </c>
      <c r="B6" s="6">
        <v>10.0</v>
      </c>
      <c r="C6" s="6">
        <v>31.0</v>
      </c>
      <c r="D6" s="6">
        <v>0.03</v>
      </c>
      <c r="E6" s="6">
        <v>0.5</v>
      </c>
      <c r="F6" s="7" t="s">
        <v>14</v>
      </c>
      <c r="G6" s="7" t="s">
        <v>14</v>
      </c>
      <c r="H6" s="6">
        <v>2048.0</v>
      </c>
      <c r="I6" s="6">
        <v>200.0</v>
      </c>
      <c r="J6" s="6">
        <v>800.0</v>
      </c>
      <c r="K6" s="8">
        <f t="shared" ref="K6:L6" si="4">K5</f>
        <v>256</v>
      </c>
      <c r="L6" s="8">
        <f t="shared" si="4"/>
        <v>8192</v>
      </c>
      <c r="M6" s="9">
        <v>2462.0</v>
      </c>
      <c r="N6" s="10">
        <v>0.013888888888888888</v>
      </c>
      <c r="O6" s="11"/>
    </row>
    <row r="7">
      <c r="A7" s="6">
        <v>10043.0</v>
      </c>
      <c r="B7" s="6">
        <v>10.0</v>
      </c>
      <c r="C7" s="6">
        <v>31.0</v>
      </c>
      <c r="D7" s="6">
        <v>0.03</v>
      </c>
      <c r="E7" s="6">
        <v>0.5</v>
      </c>
      <c r="F7" s="7" t="s">
        <v>14</v>
      </c>
      <c r="G7" s="7" t="s">
        <v>14</v>
      </c>
      <c r="H7" s="6">
        <v>2048.0</v>
      </c>
      <c r="I7" s="6">
        <v>200.0</v>
      </c>
      <c r="J7" s="6">
        <v>1300.0</v>
      </c>
      <c r="K7" s="8">
        <f t="shared" ref="K7:L7" si="5">K6</f>
        <v>256</v>
      </c>
      <c r="L7" s="8">
        <f t="shared" si="5"/>
        <v>8192</v>
      </c>
      <c r="M7" s="9">
        <v>2999.0</v>
      </c>
      <c r="N7" s="10">
        <v>0.013888888888888888</v>
      </c>
      <c r="O7" s="11"/>
    </row>
    <row r="8">
      <c r="A8" s="6">
        <v>10043.0</v>
      </c>
      <c r="B8" s="6">
        <v>10.0</v>
      </c>
      <c r="C8" s="6">
        <v>31.0</v>
      </c>
      <c r="D8" s="6">
        <v>0.03</v>
      </c>
      <c r="E8" s="6">
        <v>0.5</v>
      </c>
      <c r="F8" s="7" t="s">
        <v>14</v>
      </c>
      <c r="G8" s="7" t="s">
        <v>14</v>
      </c>
      <c r="H8" s="6">
        <v>2048.0</v>
      </c>
      <c r="I8" s="6">
        <v>200.0</v>
      </c>
      <c r="J8" s="6">
        <v>1150.0</v>
      </c>
      <c r="K8" s="8">
        <f t="shared" ref="K8:L8" si="6">K7</f>
        <v>256</v>
      </c>
      <c r="L8" s="8">
        <f t="shared" si="6"/>
        <v>8192</v>
      </c>
      <c r="M8" s="9">
        <v>3058.0</v>
      </c>
      <c r="N8" s="10">
        <v>0.013888888888888888</v>
      </c>
      <c r="O8" s="11"/>
    </row>
    <row r="9">
      <c r="A9" s="6">
        <v>10043.0</v>
      </c>
      <c r="B9" s="6">
        <v>10.0</v>
      </c>
      <c r="C9" s="6">
        <v>31.0</v>
      </c>
      <c r="D9" s="6">
        <v>0.03</v>
      </c>
      <c r="E9" s="6">
        <v>0.5</v>
      </c>
      <c r="F9" s="7" t="s">
        <v>14</v>
      </c>
      <c r="G9" s="7" t="s">
        <v>14</v>
      </c>
      <c r="H9" s="6">
        <v>2048.0</v>
      </c>
      <c r="I9" s="6">
        <v>200.0</v>
      </c>
      <c r="J9" s="6">
        <v>1250.0</v>
      </c>
      <c r="K9" s="8">
        <f t="shared" ref="K9:L9" si="7">K8</f>
        <v>256</v>
      </c>
      <c r="L9" s="8">
        <f t="shared" si="7"/>
        <v>8192</v>
      </c>
      <c r="M9" s="9">
        <v>3157.0</v>
      </c>
      <c r="N9" s="10">
        <v>0.013888888888888888</v>
      </c>
      <c r="O9" s="11"/>
    </row>
    <row r="10">
      <c r="A10" s="6">
        <v>10043.0</v>
      </c>
      <c r="B10" s="6">
        <v>10.0</v>
      </c>
      <c r="C10" s="6">
        <v>31.0</v>
      </c>
      <c r="D10" s="6">
        <v>0.03</v>
      </c>
      <c r="E10" s="6">
        <v>0.5</v>
      </c>
      <c r="F10" s="7" t="s">
        <v>14</v>
      </c>
      <c r="G10" s="7" t="s">
        <v>14</v>
      </c>
      <c r="H10" s="6">
        <v>2048.0</v>
      </c>
      <c r="I10" s="6">
        <v>200.0</v>
      </c>
      <c r="J10" s="6">
        <v>1100.0</v>
      </c>
      <c r="K10" s="8">
        <f t="shared" ref="K10:L10" si="8">K9</f>
        <v>256</v>
      </c>
      <c r="L10" s="8">
        <f t="shared" si="8"/>
        <v>8192</v>
      </c>
      <c r="M10" s="9">
        <v>3207.0</v>
      </c>
      <c r="N10" s="10">
        <v>0.013888888888888888</v>
      </c>
      <c r="O10" s="11"/>
    </row>
    <row r="11">
      <c r="A11" s="6">
        <v>10043.0</v>
      </c>
      <c r="B11" s="6">
        <v>10.0</v>
      </c>
      <c r="C11" s="6">
        <v>31.0</v>
      </c>
      <c r="D11" s="6">
        <v>0.03</v>
      </c>
      <c r="E11" s="6">
        <v>0.5</v>
      </c>
      <c r="F11" s="7" t="s">
        <v>14</v>
      </c>
      <c r="G11" s="7" t="s">
        <v>14</v>
      </c>
      <c r="H11" s="6">
        <v>2048.0</v>
      </c>
      <c r="I11" s="6">
        <v>200.0</v>
      </c>
      <c r="J11" s="6">
        <v>1050.0</v>
      </c>
      <c r="K11" s="8">
        <f t="shared" ref="K11:L11" si="9">K10</f>
        <v>256</v>
      </c>
      <c r="L11" s="8">
        <f t="shared" si="9"/>
        <v>8192</v>
      </c>
      <c r="M11" s="9">
        <v>3316.0</v>
      </c>
      <c r="N11" s="10">
        <v>0.013888888888888888</v>
      </c>
      <c r="O11" s="11"/>
    </row>
    <row r="12">
      <c r="A12" s="6">
        <v>10043.0</v>
      </c>
      <c r="B12" s="6">
        <v>10.0</v>
      </c>
      <c r="C12" s="6">
        <v>31.0</v>
      </c>
      <c r="D12" s="6">
        <v>0.03</v>
      </c>
      <c r="E12" s="6">
        <v>0.5</v>
      </c>
      <c r="F12" s="7" t="s">
        <v>14</v>
      </c>
      <c r="G12" s="7" t="s">
        <v>14</v>
      </c>
      <c r="H12" s="6">
        <v>2048.0</v>
      </c>
      <c r="I12" s="6">
        <v>200.0</v>
      </c>
      <c r="J12" s="6">
        <v>1200.0</v>
      </c>
      <c r="K12" s="8">
        <f t="shared" ref="K12:L12" si="10">K11</f>
        <v>256</v>
      </c>
      <c r="L12" s="8">
        <f t="shared" si="10"/>
        <v>8192</v>
      </c>
      <c r="M12" s="9">
        <v>3356.0</v>
      </c>
      <c r="N12" s="10">
        <v>0.013888888888888888</v>
      </c>
      <c r="O12" s="11"/>
    </row>
    <row r="13">
      <c r="K13" s="12"/>
      <c r="L13" s="12"/>
      <c r="M13" s="13"/>
      <c r="N13" s="11"/>
      <c r="O13" s="11"/>
    </row>
    <row r="14">
      <c r="K14" s="12"/>
      <c r="L14" s="12"/>
      <c r="M14" s="13"/>
      <c r="N14" s="11"/>
      <c r="O14" s="11"/>
    </row>
    <row r="15">
      <c r="K15" s="12"/>
      <c r="L15" s="12"/>
      <c r="M15" s="13"/>
      <c r="N15" s="11"/>
      <c r="O15" s="11"/>
    </row>
    <row r="16">
      <c r="K16" s="12"/>
      <c r="L16" s="12"/>
      <c r="M16" s="13"/>
      <c r="N16" s="11"/>
      <c r="O16" s="11"/>
    </row>
    <row r="17">
      <c r="K17" s="12"/>
      <c r="L17" s="12"/>
      <c r="M17" s="13"/>
      <c r="N17" s="11"/>
      <c r="O17" s="11"/>
    </row>
    <row r="18">
      <c r="K18" s="12"/>
      <c r="L18" s="12"/>
      <c r="M18" s="13"/>
      <c r="N18" s="11"/>
      <c r="O18" s="11"/>
    </row>
    <row r="19">
      <c r="K19" s="12"/>
      <c r="L19" s="12"/>
      <c r="M19" s="13"/>
      <c r="N19" s="11"/>
      <c r="O19" s="11"/>
    </row>
    <row r="20">
      <c r="K20" s="12"/>
      <c r="L20" s="12"/>
      <c r="M20" s="13"/>
      <c r="N20" s="11"/>
      <c r="O20" s="11"/>
    </row>
    <row r="21">
      <c r="K21" s="12"/>
      <c r="L21" s="12"/>
      <c r="M21" s="13"/>
      <c r="N21" s="11"/>
      <c r="O21" s="11"/>
    </row>
    <row r="22">
      <c r="K22" s="12"/>
      <c r="L22" s="12"/>
      <c r="M22" s="13"/>
      <c r="N22" s="11"/>
      <c r="O22" s="11"/>
    </row>
    <row r="23">
      <c r="K23" s="12"/>
      <c r="L23" s="12"/>
      <c r="M23" s="13"/>
      <c r="N23" s="11"/>
      <c r="O23" s="11"/>
    </row>
    <row r="24">
      <c r="K24" s="12"/>
      <c r="L24" s="12"/>
      <c r="M24" s="13"/>
      <c r="N24" s="11"/>
      <c r="O24" s="11"/>
    </row>
    <row r="25">
      <c r="K25" s="12"/>
      <c r="L25" s="12"/>
      <c r="M25" s="13"/>
      <c r="N25" s="11"/>
      <c r="O25" s="11"/>
    </row>
    <row r="26">
      <c r="K26" s="12"/>
      <c r="L26" s="12"/>
      <c r="M26" s="13"/>
      <c r="N26" s="11"/>
      <c r="O26" s="11"/>
    </row>
    <row r="27">
      <c r="K27" s="12"/>
      <c r="L27" s="12"/>
      <c r="M27" s="13"/>
      <c r="N27" s="11"/>
      <c r="O27" s="11"/>
    </row>
    <row r="28">
      <c r="K28" s="12"/>
      <c r="L28" s="12"/>
      <c r="M28" s="13"/>
      <c r="N28" s="11"/>
      <c r="O28" s="11"/>
    </row>
    <row r="29">
      <c r="K29" s="12"/>
      <c r="L29" s="12"/>
      <c r="M29" s="13"/>
      <c r="N29" s="11"/>
      <c r="O29" s="11"/>
    </row>
    <row r="30">
      <c r="K30" s="12"/>
      <c r="L30" s="12"/>
      <c r="M30" s="13"/>
      <c r="N30" s="11"/>
      <c r="O30" s="11"/>
    </row>
    <row r="31">
      <c r="K31" s="12"/>
      <c r="L31" s="12"/>
      <c r="M31" s="13"/>
      <c r="N31" s="11"/>
      <c r="O31" s="11"/>
    </row>
    <row r="32">
      <c r="K32" s="12"/>
      <c r="L32" s="12"/>
      <c r="M32" s="13"/>
      <c r="N32" s="11"/>
      <c r="O32" s="11"/>
    </row>
    <row r="33">
      <c r="K33" s="12"/>
      <c r="L33" s="12"/>
      <c r="M33" s="13"/>
      <c r="N33" s="11"/>
      <c r="O33" s="11"/>
    </row>
    <row r="34">
      <c r="K34" s="12"/>
      <c r="L34" s="12"/>
      <c r="M34" s="13"/>
      <c r="N34" s="11"/>
      <c r="O34" s="11"/>
    </row>
    <row r="35">
      <c r="K35" s="12"/>
      <c r="L35" s="12"/>
      <c r="M35" s="13"/>
      <c r="N35" s="11"/>
      <c r="O35" s="11"/>
    </row>
    <row r="36">
      <c r="K36" s="12"/>
      <c r="L36" s="12"/>
      <c r="M36" s="13"/>
      <c r="N36" s="11"/>
      <c r="O36" s="11"/>
    </row>
    <row r="37">
      <c r="K37" s="12"/>
      <c r="L37" s="12"/>
      <c r="M37" s="13"/>
      <c r="N37" s="11"/>
      <c r="O37" s="11"/>
    </row>
    <row r="38">
      <c r="K38" s="12"/>
      <c r="L38" s="12"/>
      <c r="M38" s="13"/>
      <c r="N38" s="11"/>
      <c r="O38" s="11"/>
    </row>
    <row r="39">
      <c r="K39" s="12"/>
      <c r="L39" s="12"/>
      <c r="M39" s="13"/>
      <c r="N39" s="11"/>
      <c r="O39" s="11"/>
    </row>
    <row r="40">
      <c r="K40" s="12"/>
      <c r="L40" s="12"/>
      <c r="M40" s="13"/>
      <c r="N40" s="11"/>
      <c r="O40" s="11"/>
    </row>
    <row r="41">
      <c r="K41" s="12"/>
      <c r="L41" s="12"/>
      <c r="M41" s="13"/>
      <c r="N41" s="11"/>
      <c r="O41" s="11"/>
    </row>
    <row r="42">
      <c r="K42" s="12"/>
      <c r="L42" s="12"/>
      <c r="M42" s="13"/>
      <c r="N42" s="11"/>
      <c r="O42" s="11"/>
    </row>
    <row r="43">
      <c r="K43" s="12"/>
      <c r="L43" s="12"/>
      <c r="M43" s="13"/>
      <c r="N43" s="11"/>
      <c r="O43" s="11"/>
    </row>
    <row r="44">
      <c r="K44" s="12"/>
      <c r="L44" s="12"/>
      <c r="M44" s="13"/>
      <c r="N44" s="11"/>
      <c r="O44" s="11"/>
    </row>
    <row r="45">
      <c r="K45" s="12"/>
      <c r="L45" s="12"/>
      <c r="M45" s="13"/>
      <c r="N45" s="11"/>
      <c r="O45" s="11"/>
    </row>
    <row r="46">
      <c r="K46" s="12"/>
      <c r="L46" s="12"/>
      <c r="M46" s="13"/>
      <c r="N46" s="11"/>
      <c r="O46" s="11"/>
    </row>
    <row r="47">
      <c r="K47" s="12"/>
      <c r="L47" s="12"/>
      <c r="M47" s="13"/>
      <c r="N47" s="11"/>
      <c r="O47" s="11"/>
    </row>
    <row r="48">
      <c r="K48" s="12"/>
      <c r="L48" s="12"/>
      <c r="M48" s="13"/>
      <c r="N48" s="11"/>
      <c r="O48" s="11"/>
    </row>
    <row r="49">
      <c r="K49" s="12"/>
      <c r="L49" s="12"/>
      <c r="M49" s="13"/>
      <c r="N49" s="11"/>
      <c r="O49" s="11"/>
    </row>
    <row r="50">
      <c r="K50" s="12"/>
      <c r="L50" s="12"/>
      <c r="M50" s="13"/>
      <c r="N50" s="11"/>
      <c r="O50" s="11"/>
    </row>
    <row r="51">
      <c r="K51" s="12"/>
      <c r="L51" s="12"/>
      <c r="M51" s="13"/>
      <c r="N51" s="11"/>
      <c r="O51" s="11"/>
    </row>
    <row r="52">
      <c r="K52" s="12"/>
      <c r="L52" s="12"/>
      <c r="M52" s="13"/>
      <c r="N52" s="11"/>
      <c r="O52" s="11"/>
    </row>
    <row r="53">
      <c r="K53" s="12"/>
      <c r="L53" s="12"/>
      <c r="M53" s="13"/>
      <c r="N53" s="11"/>
      <c r="O53" s="11"/>
    </row>
    <row r="54">
      <c r="K54" s="12"/>
      <c r="L54" s="12"/>
      <c r="M54" s="13"/>
      <c r="N54" s="11"/>
      <c r="O54" s="11"/>
    </row>
    <row r="55">
      <c r="K55" s="12"/>
      <c r="L55" s="12"/>
      <c r="M55" s="13"/>
      <c r="N55" s="11"/>
      <c r="O55" s="11"/>
    </row>
    <row r="56">
      <c r="K56" s="12"/>
      <c r="L56" s="12"/>
      <c r="M56" s="13"/>
      <c r="N56" s="11"/>
      <c r="O56" s="11"/>
    </row>
    <row r="57">
      <c r="K57" s="12"/>
      <c r="L57" s="12"/>
      <c r="M57" s="13"/>
      <c r="N57" s="11"/>
      <c r="O57" s="11"/>
    </row>
    <row r="58">
      <c r="K58" s="12"/>
      <c r="L58" s="12"/>
      <c r="M58" s="13"/>
      <c r="N58" s="11"/>
      <c r="O58" s="11"/>
    </row>
    <row r="59">
      <c r="K59" s="12"/>
      <c r="L59" s="12"/>
      <c r="M59" s="13"/>
      <c r="N59" s="11"/>
      <c r="O59" s="11"/>
    </row>
    <row r="60">
      <c r="K60" s="12"/>
      <c r="L60" s="12"/>
      <c r="M60" s="13"/>
      <c r="N60" s="11"/>
      <c r="O60" s="11"/>
    </row>
    <row r="61">
      <c r="K61" s="12"/>
      <c r="L61" s="12"/>
      <c r="M61" s="13"/>
      <c r="N61" s="11"/>
      <c r="O61" s="11"/>
    </row>
    <row r="62">
      <c r="K62" s="12"/>
      <c r="L62" s="12"/>
      <c r="M62" s="13"/>
      <c r="N62" s="11"/>
      <c r="O62" s="11"/>
    </row>
    <row r="63">
      <c r="K63" s="12"/>
      <c r="L63" s="12"/>
      <c r="M63" s="13"/>
      <c r="N63" s="11"/>
      <c r="O63" s="11"/>
    </row>
    <row r="64">
      <c r="K64" s="12"/>
      <c r="L64" s="12"/>
      <c r="M64" s="13"/>
      <c r="N64" s="11"/>
      <c r="O64" s="11"/>
    </row>
    <row r="65">
      <c r="K65" s="12"/>
      <c r="L65" s="12"/>
      <c r="M65" s="13"/>
      <c r="N65" s="11"/>
      <c r="O65" s="11"/>
    </row>
    <row r="66">
      <c r="K66" s="12"/>
      <c r="L66" s="12"/>
      <c r="M66" s="13"/>
      <c r="N66" s="11"/>
      <c r="O66" s="11"/>
    </row>
    <row r="67">
      <c r="K67" s="12"/>
      <c r="L67" s="12"/>
      <c r="M67" s="13"/>
      <c r="N67" s="11"/>
      <c r="O67" s="11"/>
    </row>
    <row r="68">
      <c r="K68" s="12"/>
      <c r="L68" s="12"/>
      <c r="M68" s="13"/>
      <c r="N68" s="11"/>
      <c r="O68" s="11"/>
    </row>
    <row r="69">
      <c r="K69" s="12"/>
      <c r="L69" s="12"/>
      <c r="M69" s="13"/>
      <c r="N69" s="11"/>
      <c r="O69" s="11"/>
    </row>
    <row r="70">
      <c r="K70" s="12"/>
      <c r="L70" s="12"/>
      <c r="M70" s="13"/>
      <c r="N70" s="11"/>
      <c r="O70" s="11"/>
    </row>
    <row r="71">
      <c r="K71" s="12"/>
      <c r="L71" s="12"/>
      <c r="M71" s="13"/>
      <c r="N71" s="11"/>
      <c r="O71" s="11"/>
    </row>
    <row r="72">
      <c r="K72" s="12"/>
      <c r="L72" s="12"/>
      <c r="M72" s="13"/>
      <c r="N72" s="11"/>
      <c r="O72" s="11"/>
    </row>
    <row r="73">
      <c r="K73" s="12"/>
      <c r="L73" s="12"/>
      <c r="M73" s="13"/>
      <c r="N73" s="11"/>
      <c r="O73" s="11"/>
    </row>
    <row r="74">
      <c r="K74" s="12"/>
      <c r="L74" s="12"/>
      <c r="M74" s="13"/>
      <c r="N74" s="11"/>
      <c r="O74" s="11"/>
    </row>
    <row r="75">
      <c r="K75" s="12"/>
      <c r="L75" s="12"/>
      <c r="M75" s="13"/>
      <c r="N75" s="11"/>
      <c r="O75" s="11"/>
    </row>
    <row r="76">
      <c r="K76" s="12"/>
      <c r="L76" s="12"/>
      <c r="M76" s="13"/>
      <c r="N76" s="11"/>
      <c r="O76" s="11"/>
    </row>
    <row r="77">
      <c r="K77" s="12"/>
      <c r="L77" s="12"/>
      <c r="M77" s="13"/>
      <c r="N77" s="11"/>
      <c r="O77" s="11"/>
    </row>
    <row r="78">
      <c r="K78" s="12"/>
      <c r="L78" s="12"/>
      <c r="M78" s="13"/>
      <c r="N78" s="11"/>
      <c r="O78" s="11"/>
    </row>
    <row r="79">
      <c r="K79" s="12"/>
      <c r="L79" s="12"/>
      <c r="M79" s="13"/>
      <c r="N79" s="11"/>
      <c r="O79" s="11"/>
    </row>
    <row r="80">
      <c r="K80" s="12"/>
      <c r="L80" s="12"/>
      <c r="M80" s="13"/>
      <c r="N80" s="11"/>
      <c r="O80" s="11"/>
    </row>
    <row r="81">
      <c r="K81" s="12"/>
      <c r="L81" s="12"/>
      <c r="M81" s="13"/>
      <c r="N81" s="11"/>
      <c r="O81" s="11"/>
    </row>
    <row r="82">
      <c r="K82" s="12"/>
      <c r="L82" s="12"/>
      <c r="M82" s="13"/>
      <c r="N82" s="11"/>
      <c r="O82" s="11"/>
    </row>
    <row r="83">
      <c r="K83" s="12"/>
      <c r="L83" s="12"/>
      <c r="M83" s="13"/>
      <c r="N83" s="11"/>
      <c r="O83" s="11"/>
    </row>
    <row r="84">
      <c r="K84" s="12"/>
      <c r="L84" s="12"/>
      <c r="M84" s="13"/>
      <c r="N84" s="11"/>
      <c r="O84" s="11"/>
    </row>
    <row r="85">
      <c r="K85" s="12"/>
      <c r="L85" s="12"/>
      <c r="M85" s="13"/>
      <c r="N85" s="11"/>
      <c r="O85" s="11"/>
    </row>
    <row r="86">
      <c r="K86" s="12"/>
      <c r="L86" s="12"/>
      <c r="M86" s="13"/>
      <c r="N86" s="11"/>
      <c r="O86" s="11"/>
    </row>
    <row r="87">
      <c r="K87" s="12"/>
      <c r="L87" s="12"/>
      <c r="M87" s="13"/>
      <c r="N87" s="11"/>
      <c r="O87" s="11"/>
    </row>
    <row r="88">
      <c r="K88" s="12"/>
      <c r="L88" s="12"/>
      <c r="M88" s="13"/>
      <c r="N88" s="11"/>
      <c r="O88" s="11"/>
    </row>
    <row r="89">
      <c r="K89" s="12"/>
      <c r="L89" s="12"/>
      <c r="M89" s="13"/>
      <c r="N89" s="11"/>
      <c r="O89" s="11"/>
    </row>
    <row r="90">
      <c r="K90" s="12"/>
      <c r="L90" s="12"/>
      <c r="M90" s="13"/>
      <c r="N90" s="11"/>
      <c r="O90" s="11"/>
    </row>
    <row r="91">
      <c r="K91" s="12"/>
      <c r="L91" s="12"/>
      <c r="M91" s="13"/>
      <c r="N91" s="11"/>
      <c r="O91" s="11"/>
    </row>
    <row r="92">
      <c r="K92" s="12"/>
      <c r="L92" s="12"/>
      <c r="M92" s="13"/>
      <c r="N92" s="11"/>
      <c r="O92" s="11"/>
    </row>
    <row r="93">
      <c r="K93" s="12"/>
      <c r="L93" s="12"/>
      <c r="M93" s="13"/>
      <c r="N93" s="11"/>
      <c r="O93" s="11"/>
    </row>
    <row r="94">
      <c r="K94" s="12"/>
      <c r="L94" s="12"/>
      <c r="M94" s="13"/>
      <c r="N94" s="11"/>
      <c r="O94" s="11"/>
    </row>
    <row r="95">
      <c r="K95" s="12"/>
      <c r="L95" s="12"/>
      <c r="M95" s="13"/>
      <c r="N95" s="11"/>
      <c r="O95" s="11"/>
    </row>
    <row r="96">
      <c r="K96" s="12"/>
      <c r="L96" s="12"/>
      <c r="M96" s="13"/>
      <c r="N96" s="11"/>
      <c r="O96" s="11"/>
    </row>
    <row r="97">
      <c r="K97" s="12"/>
      <c r="L97" s="12"/>
      <c r="M97" s="13"/>
      <c r="N97" s="11"/>
      <c r="O97" s="11"/>
    </row>
    <row r="98">
      <c r="K98" s="12"/>
      <c r="L98" s="12"/>
      <c r="M98" s="13"/>
      <c r="N98" s="11"/>
      <c r="O98" s="11"/>
    </row>
    <row r="99">
      <c r="K99" s="12"/>
      <c r="L99" s="12"/>
      <c r="M99" s="13"/>
      <c r="N99" s="11"/>
      <c r="O99" s="11"/>
    </row>
    <row r="100">
      <c r="K100" s="12"/>
      <c r="L100" s="12"/>
      <c r="M100" s="13"/>
      <c r="N100" s="11"/>
      <c r="O100" s="11"/>
    </row>
    <row r="101">
      <c r="K101" s="12"/>
      <c r="L101" s="12"/>
      <c r="M101" s="13"/>
      <c r="N101" s="11"/>
      <c r="O101" s="11"/>
    </row>
    <row r="102">
      <c r="K102" s="12"/>
      <c r="L102" s="12"/>
      <c r="M102" s="13"/>
      <c r="N102" s="11"/>
      <c r="O102" s="11"/>
    </row>
    <row r="103">
      <c r="K103" s="12"/>
      <c r="L103" s="12"/>
      <c r="M103" s="13"/>
      <c r="N103" s="11"/>
      <c r="O103" s="11"/>
    </row>
    <row r="104">
      <c r="K104" s="12"/>
      <c r="L104" s="12"/>
      <c r="M104" s="13"/>
      <c r="N104" s="11"/>
      <c r="O104" s="11"/>
    </row>
    <row r="105">
      <c r="K105" s="12"/>
      <c r="L105" s="12"/>
      <c r="M105" s="13"/>
      <c r="N105" s="11"/>
      <c r="O105" s="11"/>
    </row>
    <row r="106">
      <c r="K106" s="12"/>
      <c r="L106" s="12"/>
      <c r="M106" s="13"/>
      <c r="N106" s="11"/>
      <c r="O106" s="11"/>
    </row>
    <row r="107">
      <c r="K107" s="12"/>
      <c r="L107" s="12"/>
      <c r="M107" s="13"/>
      <c r="N107" s="11"/>
      <c r="O107" s="11"/>
    </row>
    <row r="108">
      <c r="K108" s="12"/>
      <c r="L108" s="12"/>
      <c r="M108" s="13"/>
      <c r="N108" s="11"/>
      <c r="O108" s="11"/>
    </row>
    <row r="109">
      <c r="K109" s="12"/>
      <c r="L109" s="12"/>
      <c r="M109" s="13"/>
      <c r="N109" s="11"/>
      <c r="O109" s="11"/>
    </row>
    <row r="110">
      <c r="K110" s="12"/>
      <c r="L110" s="12"/>
      <c r="M110" s="13"/>
      <c r="N110" s="11"/>
      <c r="O110" s="11"/>
    </row>
    <row r="111">
      <c r="K111" s="12"/>
      <c r="L111" s="12"/>
      <c r="M111" s="13"/>
      <c r="N111" s="11"/>
      <c r="O111" s="11"/>
    </row>
    <row r="112">
      <c r="K112" s="12"/>
      <c r="L112" s="12"/>
      <c r="M112" s="13"/>
      <c r="N112" s="11"/>
      <c r="O112" s="11"/>
    </row>
    <row r="113">
      <c r="K113" s="12"/>
      <c r="L113" s="12"/>
      <c r="M113" s="13"/>
      <c r="N113" s="11"/>
      <c r="O113" s="11"/>
    </row>
    <row r="114">
      <c r="K114" s="12"/>
      <c r="L114" s="12"/>
      <c r="M114" s="13"/>
      <c r="N114" s="11"/>
      <c r="O114" s="11"/>
    </row>
    <row r="115">
      <c r="K115" s="12"/>
      <c r="L115" s="12"/>
      <c r="M115" s="13"/>
      <c r="N115" s="11"/>
      <c r="O115" s="11"/>
    </row>
    <row r="116">
      <c r="K116" s="12"/>
      <c r="L116" s="12"/>
      <c r="M116" s="13"/>
      <c r="N116" s="11"/>
      <c r="O116" s="11"/>
    </row>
    <row r="117">
      <c r="K117" s="12"/>
      <c r="L117" s="12"/>
      <c r="M117" s="13"/>
      <c r="N117" s="11"/>
      <c r="O117" s="11"/>
    </row>
    <row r="118">
      <c r="K118" s="12"/>
      <c r="L118" s="12"/>
      <c r="M118" s="13"/>
      <c r="N118" s="11"/>
      <c r="O118" s="11"/>
    </row>
    <row r="119">
      <c r="K119" s="12"/>
      <c r="L119" s="12"/>
      <c r="M119" s="13"/>
      <c r="N119" s="11"/>
      <c r="O119" s="11"/>
    </row>
    <row r="120">
      <c r="K120" s="12"/>
      <c r="L120" s="12"/>
      <c r="M120" s="13"/>
      <c r="N120" s="11"/>
      <c r="O120" s="11"/>
    </row>
    <row r="121">
      <c r="K121" s="12"/>
      <c r="L121" s="12"/>
      <c r="M121" s="13"/>
      <c r="N121" s="11"/>
      <c r="O121" s="11"/>
    </row>
    <row r="122">
      <c r="K122" s="12"/>
      <c r="L122" s="12"/>
      <c r="M122" s="13"/>
      <c r="N122" s="11"/>
      <c r="O122" s="11"/>
    </row>
    <row r="123">
      <c r="K123" s="12"/>
      <c r="L123" s="12"/>
      <c r="M123" s="13"/>
      <c r="N123" s="11"/>
      <c r="O123" s="11"/>
    </row>
    <row r="124">
      <c r="K124" s="12"/>
      <c r="L124" s="12"/>
      <c r="M124" s="13"/>
      <c r="N124" s="11"/>
      <c r="O124" s="11"/>
    </row>
    <row r="125">
      <c r="K125" s="12"/>
      <c r="L125" s="12"/>
      <c r="M125" s="13"/>
      <c r="N125" s="11"/>
      <c r="O125" s="11"/>
    </row>
    <row r="126">
      <c r="K126" s="12"/>
      <c r="L126" s="12"/>
      <c r="M126" s="13"/>
      <c r="N126" s="11"/>
      <c r="O126" s="11"/>
    </row>
    <row r="127">
      <c r="K127" s="12"/>
      <c r="L127" s="12"/>
      <c r="M127" s="13"/>
      <c r="N127" s="11"/>
      <c r="O127" s="11"/>
    </row>
    <row r="128">
      <c r="K128" s="12"/>
      <c r="L128" s="12"/>
      <c r="M128" s="13"/>
      <c r="N128" s="11"/>
      <c r="O128" s="11"/>
    </row>
    <row r="129">
      <c r="K129" s="12"/>
      <c r="L129" s="12"/>
      <c r="M129" s="13"/>
      <c r="N129" s="11"/>
      <c r="O129" s="11"/>
    </row>
    <row r="130">
      <c r="K130" s="12"/>
      <c r="L130" s="12"/>
      <c r="M130" s="13"/>
      <c r="N130" s="11"/>
      <c r="O130" s="11"/>
    </row>
    <row r="131">
      <c r="K131" s="12"/>
      <c r="L131" s="12"/>
      <c r="M131" s="13"/>
      <c r="N131" s="11"/>
      <c r="O131" s="11"/>
    </row>
    <row r="132">
      <c r="K132" s="12"/>
      <c r="L132" s="12"/>
      <c r="M132" s="13"/>
      <c r="N132" s="11"/>
      <c r="O132" s="11"/>
    </row>
    <row r="133">
      <c r="K133" s="12"/>
      <c r="L133" s="12"/>
      <c r="M133" s="13"/>
      <c r="N133" s="11"/>
      <c r="O133" s="11"/>
    </row>
    <row r="134">
      <c r="K134" s="12"/>
      <c r="L134" s="12"/>
      <c r="M134" s="13"/>
      <c r="N134" s="11"/>
      <c r="O134" s="11"/>
    </row>
    <row r="135">
      <c r="K135" s="12"/>
      <c r="L135" s="12"/>
      <c r="M135" s="13"/>
      <c r="N135" s="11"/>
      <c r="O135" s="11"/>
    </row>
    <row r="136">
      <c r="K136" s="12"/>
      <c r="L136" s="12"/>
      <c r="M136" s="13"/>
      <c r="N136" s="11"/>
      <c r="O136" s="11"/>
    </row>
    <row r="137">
      <c r="K137" s="12"/>
      <c r="L137" s="12"/>
      <c r="M137" s="13"/>
      <c r="N137" s="11"/>
      <c r="O137" s="11"/>
    </row>
    <row r="138">
      <c r="K138" s="12"/>
      <c r="L138" s="12"/>
      <c r="M138" s="13"/>
      <c r="N138" s="11"/>
      <c r="O138" s="11"/>
    </row>
    <row r="139">
      <c r="K139" s="12"/>
      <c r="L139" s="12"/>
      <c r="M139" s="13"/>
      <c r="N139" s="11"/>
      <c r="O139" s="11"/>
    </row>
    <row r="140">
      <c r="K140" s="12"/>
      <c r="L140" s="12"/>
      <c r="M140" s="13"/>
      <c r="N140" s="11"/>
      <c r="O140" s="11"/>
    </row>
    <row r="141">
      <c r="K141" s="12"/>
      <c r="L141" s="12"/>
      <c r="M141" s="13"/>
      <c r="N141" s="11"/>
      <c r="O141" s="11"/>
    </row>
    <row r="142">
      <c r="K142" s="12"/>
      <c r="L142" s="12"/>
      <c r="M142" s="13"/>
      <c r="N142" s="11"/>
      <c r="O142" s="11"/>
    </row>
    <row r="143">
      <c r="K143" s="12"/>
      <c r="L143" s="12"/>
      <c r="M143" s="13"/>
      <c r="N143" s="11"/>
      <c r="O143" s="11"/>
    </row>
    <row r="144">
      <c r="K144" s="12"/>
      <c r="L144" s="12"/>
      <c r="M144" s="13"/>
      <c r="N144" s="11"/>
      <c r="O144" s="11"/>
    </row>
    <row r="145">
      <c r="K145" s="12"/>
      <c r="L145" s="12"/>
      <c r="M145" s="13"/>
      <c r="N145" s="11"/>
      <c r="O145" s="11"/>
    </row>
    <row r="146">
      <c r="K146" s="12"/>
      <c r="L146" s="12"/>
      <c r="M146" s="13"/>
      <c r="N146" s="11"/>
      <c r="O146" s="11"/>
    </row>
    <row r="147">
      <c r="K147" s="12"/>
      <c r="L147" s="12"/>
      <c r="M147" s="13"/>
      <c r="N147" s="11"/>
      <c r="O147" s="11"/>
    </row>
    <row r="148">
      <c r="K148" s="12"/>
      <c r="L148" s="12"/>
      <c r="M148" s="13"/>
      <c r="N148" s="11"/>
      <c r="O148" s="11"/>
    </row>
    <row r="149">
      <c r="K149" s="12"/>
      <c r="L149" s="12"/>
      <c r="M149" s="13"/>
      <c r="N149" s="11"/>
      <c r="O149" s="11"/>
    </row>
    <row r="150">
      <c r="K150" s="12"/>
      <c r="L150" s="12"/>
      <c r="M150" s="13"/>
      <c r="N150" s="11"/>
      <c r="O150" s="11"/>
    </row>
    <row r="151">
      <c r="K151" s="12"/>
      <c r="L151" s="12"/>
      <c r="M151" s="13"/>
      <c r="N151" s="11"/>
      <c r="O151" s="11"/>
    </row>
    <row r="152">
      <c r="K152" s="12"/>
      <c r="L152" s="12"/>
      <c r="M152" s="13"/>
      <c r="N152" s="11"/>
      <c r="O152" s="11"/>
    </row>
    <row r="153">
      <c r="K153" s="12"/>
      <c r="L153" s="12"/>
      <c r="M153" s="13"/>
      <c r="N153" s="11"/>
      <c r="O153" s="11"/>
    </row>
    <row r="154">
      <c r="K154" s="12"/>
      <c r="L154" s="12"/>
      <c r="M154" s="13"/>
      <c r="N154" s="11"/>
      <c r="O154" s="11"/>
    </row>
    <row r="155">
      <c r="K155" s="12"/>
      <c r="L155" s="12"/>
      <c r="M155" s="13"/>
      <c r="N155" s="11"/>
      <c r="O155" s="11"/>
    </row>
    <row r="156">
      <c r="K156" s="12"/>
      <c r="L156" s="12"/>
      <c r="M156" s="13"/>
      <c r="N156" s="11"/>
      <c r="O156" s="11"/>
    </row>
    <row r="157">
      <c r="K157" s="12"/>
      <c r="L157" s="12"/>
      <c r="M157" s="13"/>
      <c r="N157" s="11"/>
      <c r="O157" s="11"/>
    </row>
    <row r="158">
      <c r="K158" s="12"/>
      <c r="L158" s="12"/>
      <c r="M158" s="13"/>
      <c r="N158" s="11"/>
      <c r="O158" s="11"/>
    </row>
    <row r="159">
      <c r="K159" s="12"/>
      <c r="L159" s="12"/>
      <c r="M159" s="13"/>
      <c r="N159" s="11"/>
      <c r="O159" s="11"/>
    </row>
    <row r="160">
      <c r="K160" s="12"/>
      <c r="L160" s="12"/>
      <c r="M160" s="13"/>
      <c r="N160" s="11"/>
      <c r="O160" s="11"/>
    </row>
    <row r="161">
      <c r="K161" s="12"/>
      <c r="L161" s="12"/>
      <c r="M161" s="13"/>
      <c r="N161" s="11"/>
      <c r="O161" s="11"/>
    </row>
    <row r="162">
      <c r="K162" s="12"/>
      <c r="L162" s="12"/>
      <c r="M162" s="13"/>
      <c r="N162" s="11"/>
      <c r="O162" s="11"/>
    </row>
    <row r="163">
      <c r="K163" s="12"/>
      <c r="L163" s="12"/>
      <c r="M163" s="13"/>
      <c r="N163" s="11"/>
      <c r="O163" s="11"/>
    </row>
    <row r="164">
      <c r="K164" s="12"/>
      <c r="L164" s="12"/>
      <c r="M164" s="13"/>
      <c r="N164" s="11"/>
      <c r="O164" s="11"/>
    </row>
    <row r="165">
      <c r="K165" s="12"/>
      <c r="L165" s="12"/>
      <c r="M165" s="13"/>
      <c r="N165" s="11"/>
      <c r="O165" s="11"/>
    </row>
    <row r="166">
      <c r="K166" s="12"/>
      <c r="L166" s="12"/>
      <c r="M166" s="13"/>
      <c r="N166" s="11"/>
      <c r="O166" s="11"/>
    </row>
    <row r="167">
      <c r="K167" s="12"/>
      <c r="L167" s="12"/>
      <c r="M167" s="13"/>
      <c r="N167" s="11"/>
      <c r="O167" s="11"/>
    </row>
    <row r="168">
      <c r="K168" s="12"/>
      <c r="L168" s="12"/>
      <c r="M168" s="13"/>
      <c r="N168" s="11"/>
      <c r="O168" s="11"/>
    </row>
    <row r="169">
      <c r="K169" s="12"/>
      <c r="L169" s="12"/>
      <c r="M169" s="13"/>
      <c r="N169" s="11"/>
      <c r="O169" s="11"/>
    </row>
    <row r="170">
      <c r="K170" s="12"/>
      <c r="L170" s="12"/>
      <c r="M170" s="13"/>
      <c r="N170" s="11"/>
      <c r="O170" s="11"/>
    </row>
    <row r="171">
      <c r="K171" s="12"/>
      <c r="L171" s="12"/>
      <c r="M171" s="13"/>
      <c r="N171" s="11"/>
      <c r="O171" s="11"/>
    </row>
    <row r="172">
      <c r="K172" s="12"/>
      <c r="L172" s="12"/>
      <c r="M172" s="13"/>
      <c r="N172" s="11"/>
      <c r="O172" s="11"/>
    </row>
    <row r="173">
      <c r="K173" s="12"/>
      <c r="L173" s="12"/>
      <c r="M173" s="13"/>
      <c r="N173" s="11"/>
      <c r="O173" s="11"/>
    </row>
    <row r="174">
      <c r="K174" s="12"/>
      <c r="L174" s="12"/>
      <c r="M174" s="13"/>
      <c r="N174" s="11"/>
      <c r="O174" s="11"/>
    </row>
    <row r="175">
      <c r="K175" s="12"/>
      <c r="L175" s="12"/>
      <c r="M175" s="13"/>
      <c r="N175" s="11"/>
      <c r="O175" s="11"/>
    </row>
    <row r="176">
      <c r="K176" s="12"/>
      <c r="L176" s="12"/>
      <c r="M176" s="13"/>
      <c r="N176" s="11"/>
      <c r="O176" s="11"/>
    </row>
    <row r="177">
      <c r="K177" s="12"/>
      <c r="L177" s="12"/>
      <c r="M177" s="13"/>
      <c r="N177" s="11"/>
      <c r="O177" s="11"/>
    </row>
    <row r="178">
      <c r="K178" s="12"/>
      <c r="L178" s="12"/>
      <c r="M178" s="13"/>
      <c r="N178" s="11"/>
      <c r="O178" s="11"/>
    </row>
    <row r="179">
      <c r="K179" s="12"/>
      <c r="L179" s="12"/>
      <c r="M179" s="13"/>
      <c r="N179" s="11"/>
      <c r="O179" s="11"/>
    </row>
    <row r="180">
      <c r="K180" s="12"/>
      <c r="L180" s="12"/>
      <c r="M180" s="13"/>
      <c r="N180" s="11"/>
      <c r="O180" s="11"/>
    </row>
    <row r="181">
      <c r="K181" s="12"/>
      <c r="L181" s="12"/>
      <c r="M181" s="13"/>
      <c r="N181" s="11"/>
      <c r="O181" s="11"/>
    </row>
    <row r="182">
      <c r="K182" s="12"/>
      <c r="L182" s="12"/>
      <c r="M182" s="13"/>
      <c r="N182" s="11"/>
      <c r="O182" s="11"/>
    </row>
    <row r="183">
      <c r="K183" s="12"/>
      <c r="L183" s="12"/>
      <c r="M183" s="13"/>
      <c r="N183" s="11"/>
      <c r="O183" s="11"/>
    </row>
    <row r="184">
      <c r="K184" s="12"/>
      <c r="L184" s="12"/>
      <c r="M184" s="13"/>
      <c r="N184" s="11"/>
      <c r="O184" s="11"/>
    </row>
    <row r="185">
      <c r="K185" s="12"/>
      <c r="L185" s="12"/>
      <c r="M185" s="13"/>
      <c r="N185" s="11"/>
      <c r="O185" s="11"/>
    </row>
    <row r="186">
      <c r="K186" s="12"/>
      <c r="L186" s="12"/>
      <c r="M186" s="13"/>
      <c r="N186" s="11"/>
      <c r="O186" s="11"/>
    </row>
    <row r="187">
      <c r="K187" s="12"/>
      <c r="L187" s="12"/>
      <c r="M187" s="13"/>
      <c r="N187" s="11"/>
      <c r="O187" s="11"/>
    </row>
    <row r="188">
      <c r="K188" s="12"/>
      <c r="L188" s="12"/>
      <c r="M188" s="13"/>
      <c r="N188" s="11"/>
      <c r="O188" s="11"/>
    </row>
    <row r="189">
      <c r="K189" s="12"/>
      <c r="L189" s="12"/>
      <c r="M189" s="13"/>
      <c r="N189" s="11"/>
      <c r="O189" s="11"/>
    </row>
    <row r="190">
      <c r="K190" s="12"/>
      <c r="L190" s="12"/>
      <c r="M190" s="13"/>
      <c r="N190" s="11"/>
      <c r="O190" s="11"/>
    </row>
    <row r="191">
      <c r="K191" s="12"/>
      <c r="L191" s="12"/>
      <c r="M191" s="13"/>
      <c r="N191" s="11"/>
      <c r="O191" s="11"/>
    </row>
    <row r="192">
      <c r="K192" s="12"/>
      <c r="L192" s="12"/>
      <c r="M192" s="13"/>
      <c r="N192" s="11"/>
      <c r="O192" s="11"/>
    </row>
    <row r="193">
      <c r="K193" s="12"/>
      <c r="L193" s="12"/>
      <c r="M193" s="13"/>
      <c r="N193" s="11"/>
      <c r="O193" s="11"/>
    </row>
    <row r="194">
      <c r="K194" s="12"/>
      <c r="L194" s="12"/>
      <c r="M194" s="13"/>
      <c r="N194" s="11"/>
      <c r="O194" s="11"/>
    </row>
    <row r="195">
      <c r="K195" s="12"/>
      <c r="L195" s="12"/>
      <c r="M195" s="13"/>
      <c r="N195" s="11"/>
      <c r="O195" s="11"/>
    </row>
    <row r="196">
      <c r="K196" s="12"/>
      <c r="L196" s="12"/>
      <c r="M196" s="13"/>
      <c r="N196" s="11"/>
      <c r="O196" s="11"/>
    </row>
    <row r="197">
      <c r="K197" s="12"/>
      <c r="L197" s="12"/>
      <c r="M197" s="13"/>
      <c r="N197" s="11"/>
      <c r="O197" s="11"/>
    </row>
    <row r="198">
      <c r="K198" s="12"/>
      <c r="L198" s="12"/>
      <c r="M198" s="13"/>
      <c r="N198" s="11"/>
      <c r="O198" s="11"/>
    </row>
    <row r="199">
      <c r="K199" s="12"/>
      <c r="L199" s="12"/>
      <c r="M199" s="13"/>
      <c r="N199" s="11"/>
      <c r="O199" s="11"/>
    </row>
    <row r="200">
      <c r="K200" s="12"/>
      <c r="L200" s="12"/>
      <c r="M200" s="13"/>
      <c r="N200" s="11"/>
      <c r="O200" s="11"/>
    </row>
    <row r="201">
      <c r="K201" s="12"/>
      <c r="L201" s="12"/>
      <c r="M201" s="13"/>
      <c r="N201" s="11"/>
      <c r="O201" s="11"/>
    </row>
    <row r="202">
      <c r="K202" s="12"/>
      <c r="L202" s="12"/>
      <c r="M202" s="13"/>
      <c r="N202" s="11"/>
      <c r="O202" s="11"/>
    </row>
    <row r="203">
      <c r="K203" s="12"/>
      <c r="L203" s="12"/>
      <c r="M203" s="13"/>
      <c r="N203" s="11"/>
      <c r="O203" s="11"/>
    </row>
    <row r="204">
      <c r="K204" s="12"/>
      <c r="L204" s="12"/>
      <c r="M204" s="13"/>
      <c r="N204" s="11"/>
      <c r="O204" s="11"/>
    </row>
    <row r="205">
      <c r="K205" s="12"/>
      <c r="L205" s="12"/>
      <c r="M205" s="13"/>
      <c r="N205" s="11"/>
      <c r="O205" s="11"/>
    </row>
    <row r="206">
      <c r="K206" s="12"/>
      <c r="L206" s="12"/>
      <c r="M206" s="13"/>
      <c r="N206" s="11"/>
      <c r="O206" s="11"/>
    </row>
    <row r="207">
      <c r="K207" s="12"/>
      <c r="L207" s="12"/>
      <c r="M207" s="13"/>
      <c r="N207" s="11"/>
      <c r="O207" s="11"/>
    </row>
    <row r="208">
      <c r="K208" s="12"/>
      <c r="L208" s="12"/>
      <c r="M208" s="13"/>
      <c r="N208" s="11"/>
      <c r="O208" s="11"/>
    </row>
    <row r="209">
      <c r="K209" s="12"/>
      <c r="L209" s="12"/>
      <c r="M209" s="13"/>
      <c r="N209" s="11"/>
      <c r="O209" s="11"/>
    </row>
    <row r="210">
      <c r="K210" s="12"/>
      <c r="L210" s="12"/>
      <c r="M210" s="13"/>
      <c r="N210" s="11"/>
      <c r="O210" s="11"/>
    </row>
    <row r="211">
      <c r="K211" s="12"/>
      <c r="L211" s="12"/>
      <c r="M211" s="13"/>
      <c r="N211" s="11"/>
      <c r="O211" s="11"/>
    </row>
    <row r="212">
      <c r="K212" s="12"/>
      <c r="L212" s="12"/>
      <c r="M212" s="13"/>
      <c r="N212" s="11"/>
      <c r="O212" s="11"/>
    </row>
    <row r="213">
      <c r="K213" s="12"/>
      <c r="L213" s="12"/>
      <c r="M213" s="13"/>
      <c r="N213" s="11"/>
      <c r="O213" s="11"/>
    </row>
    <row r="214">
      <c r="K214" s="12"/>
      <c r="L214" s="12"/>
      <c r="M214" s="13"/>
      <c r="N214" s="11"/>
      <c r="O214" s="11"/>
    </row>
    <row r="215">
      <c r="K215" s="12"/>
      <c r="L215" s="12"/>
      <c r="M215" s="13"/>
      <c r="N215" s="11"/>
      <c r="O215" s="11"/>
    </row>
    <row r="216">
      <c r="K216" s="12"/>
      <c r="L216" s="12"/>
      <c r="M216" s="13"/>
      <c r="N216" s="11"/>
      <c r="O216" s="11"/>
    </row>
    <row r="217">
      <c r="K217" s="12"/>
      <c r="L217" s="12"/>
      <c r="M217" s="13"/>
      <c r="N217" s="11"/>
      <c r="O217" s="11"/>
    </row>
    <row r="218">
      <c r="K218" s="12"/>
      <c r="L218" s="12"/>
      <c r="M218" s="13"/>
      <c r="N218" s="11"/>
      <c r="O218" s="11"/>
    </row>
    <row r="219">
      <c r="K219" s="12"/>
      <c r="L219" s="12"/>
      <c r="M219" s="13"/>
      <c r="N219" s="11"/>
      <c r="O219" s="11"/>
    </row>
    <row r="220">
      <c r="K220" s="12"/>
      <c r="L220" s="12"/>
      <c r="M220" s="13"/>
      <c r="N220" s="11"/>
      <c r="O220" s="11"/>
    </row>
    <row r="221">
      <c r="K221" s="12"/>
      <c r="L221" s="12"/>
      <c r="M221" s="13"/>
      <c r="N221" s="11"/>
      <c r="O221" s="11"/>
    </row>
    <row r="222">
      <c r="K222" s="12"/>
      <c r="L222" s="12"/>
      <c r="M222" s="13"/>
      <c r="N222" s="11"/>
      <c r="O222" s="11"/>
    </row>
    <row r="223">
      <c r="K223" s="12"/>
      <c r="L223" s="12"/>
      <c r="M223" s="13"/>
      <c r="N223" s="11"/>
      <c r="O223" s="11"/>
    </row>
    <row r="224">
      <c r="K224" s="12"/>
      <c r="L224" s="12"/>
      <c r="M224" s="13"/>
      <c r="N224" s="11"/>
      <c r="O224" s="11"/>
    </row>
    <row r="225">
      <c r="K225" s="12"/>
      <c r="L225" s="12"/>
      <c r="M225" s="13"/>
      <c r="N225" s="11"/>
      <c r="O225" s="11"/>
    </row>
    <row r="226">
      <c r="K226" s="12"/>
      <c r="L226" s="12"/>
      <c r="M226" s="13"/>
      <c r="N226" s="11"/>
      <c r="O226" s="11"/>
    </row>
    <row r="227">
      <c r="K227" s="12"/>
      <c r="L227" s="12"/>
      <c r="M227" s="13"/>
      <c r="N227" s="11"/>
      <c r="O227" s="11"/>
    </row>
    <row r="228">
      <c r="K228" s="12"/>
      <c r="L228" s="12"/>
      <c r="M228" s="13"/>
      <c r="N228" s="11"/>
      <c r="O228" s="11"/>
    </row>
    <row r="229">
      <c r="K229" s="12"/>
      <c r="L229" s="12"/>
      <c r="M229" s="13"/>
      <c r="N229" s="11"/>
      <c r="O229" s="11"/>
    </row>
    <row r="230">
      <c r="K230" s="12"/>
      <c r="L230" s="12"/>
      <c r="M230" s="13"/>
      <c r="N230" s="11"/>
      <c r="O230" s="11"/>
    </row>
    <row r="231">
      <c r="K231" s="12"/>
      <c r="L231" s="12"/>
      <c r="M231" s="13"/>
      <c r="N231" s="11"/>
      <c r="O231" s="11"/>
    </row>
    <row r="232">
      <c r="K232" s="12"/>
      <c r="L232" s="12"/>
      <c r="M232" s="13"/>
      <c r="N232" s="11"/>
      <c r="O232" s="11"/>
    </row>
    <row r="233">
      <c r="K233" s="12"/>
      <c r="L233" s="12"/>
      <c r="M233" s="13"/>
      <c r="N233" s="11"/>
      <c r="O233" s="11"/>
    </row>
    <row r="234">
      <c r="K234" s="12"/>
      <c r="L234" s="12"/>
      <c r="M234" s="13"/>
      <c r="N234" s="11"/>
      <c r="O234" s="11"/>
    </row>
    <row r="235">
      <c r="K235" s="12"/>
      <c r="L235" s="12"/>
      <c r="M235" s="13"/>
      <c r="N235" s="11"/>
      <c r="O235" s="11"/>
    </row>
    <row r="236">
      <c r="K236" s="12"/>
      <c r="L236" s="12"/>
      <c r="M236" s="13"/>
      <c r="N236" s="11"/>
      <c r="O236" s="11"/>
    </row>
    <row r="237">
      <c r="K237" s="12"/>
      <c r="L237" s="12"/>
      <c r="M237" s="13"/>
      <c r="N237" s="11"/>
      <c r="O237" s="11"/>
    </row>
    <row r="238">
      <c r="K238" s="12"/>
      <c r="L238" s="12"/>
      <c r="M238" s="13"/>
      <c r="N238" s="11"/>
      <c r="O238" s="11"/>
    </row>
    <row r="239">
      <c r="K239" s="12"/>
      <c r="L239" s="12"/>
      <c r="M239" s="13"/>
      <c r="N239" s="11"/>
      <c r="O239" s="11"/>
    </row>
    <row r="240">
      <c r="K240" s="12"/>
      <c r="L240" s="12"/>
      <c r="M240" s="13"/>
      <c r="N240" s="11"/>
      <c r="O240" s="11"/>
    </row>
    <row r="241">
      <c r="K241" s="12"/>
      <c r="L241" s="12"/>
      <c r="M241" s="13"/>
      <c r="N241" s="11"/>
      <c r="O241" s="11"/>
    </row>
    <row r="242">
      <c r="K242" s="12"/>
      <c r="L242" s="12"/>
      <c r="M242" s="13"/>
      <c r="N242" s="11"/>
      <c r="O242" s="11"/>
    </row>
    <row r="243">
      <c r="K243" s="12"/>
      <c r="L243" s="12"/>
      <c r="M243" s="13"/>
      <c r="N243" s="11"/>
      <c r="O243" s="11"/>
    </row>
    <row r="244">
      <c r="K244" s="12"/>
      <c r="L244" s="12"/>
      <c r="M244" s="13"/>
      <c r="N244" s="11"/>
      <c r="O244" s="11"/>
    </row>
    <row r="245">
      <c r="K245" s="12"/>
      <c r="L245" s="12"/>
      <c r="M245" s="13"/>
      <c r="N245" s="11"/>
      <c r="O245" s="11"/>
    </row>
    <row r="246">
      <c r="K246" s="12"/>
      <c r="L246" s="12"/>
      <c r="M246" s="13"/>
      <c r="N246" s="11"/>
      <c r="O246" s="11"/>
    </row>
    <row r="247">
      <c r="K247" s="12"/>
      <c r="L247" s="12"/>
      <c r="M247" s="13"/>
      <c r="N247" s="11"/>
      <c r="O247" s="11"/>
    </row>
    <row r="248">
      <c r="K248" s="12"/>
      <c r="L248" s="12"/>
      <c r="M248" s="13"/>
      <c r="N248" s="11"/>
      <c r="O248" s="11"/>
    </row>
    <row r="249">
      <c r="K249" s="12"/>
      <c r="L249" s="12"/>
      <c r="M249" s="13"/>
      <c r="N249" s="11"/>
      <c r="O249" s="11"/>
    </row>
    <row r="250">
      <c r="K250" s="12"/>
      <c r="L250" s="12"/>
      <c r="M250" s="13"/>
      <c r="N250" s="11"/>
      <c r="O250" s="11"/>
    </row>
    <row r="251">
      <c r="K251" s="12"/>
      <c r="L251" s="12"/>
      <c r="M251" s="13"/>
      <c r="N251" s="11"/>
      <c r="O251" s="11"/>
    </row>
    <row r="252">
      <c r="K252" s="12"/>
      <c r="L252" s="12"/>
      <c r="M252" s="13"/>
      <c r="N252" s="11"/>
      <c r="O252" s="11"/>
    </row>
    <row r="253">
      <c r="K253" s="12"/>
      <c r="L253" s="12"/>
      <c r="M253" s="13"/>
      <c r="N253" s="11"/>
      <c r="O253" s="11"/>
    </row>
    <row r="254">
      <c r="K254" s="12"/>
      <c r="L254" s="12"/>
      <c r="M254" s="13"/>
      <c r="N254" s="11"/>
      <c r="O254" s="11"/>
    </row>
    <row r="255">
      <c r="K255" s="12"/>
      <c r="L255" s="12"/>
      <c r="M255" s="13"/>
      <c r="N255" s="11"/>
      <c r="O255" s="11"/>
    </row>
    <row r="256">
      <c r="K256" s="12"/>
      <c r="L256" s="12"/>
      <c r="M256" s="13"/>
      <c r="N256" s="11"/>
      <c r="O256" s="11"/>
    </row>
    <row r="257">
      <c r="K257" s="12"/>
      <c r="L257" s="12"/>
      <c r="M257" s="13"/>
      <c r="N257" s="11"/>
      <c r="O257" s="11"/>
    </row>
    <row r="258">
      <c r="K258" s="12"/>
      <c r="L258" s="12"/>
      <c r="M258" s="13"/>
      <c r="N258" s="11"/>
      <c r="O258" s="11"/>
    </row>
    <row r="259">
      <c r="K259" s="12"/>
      <c r="L259" s="12"/>
      <c r="M259" s="13"/>
      <c r="N259" s="11"/>
      <c r="O259" s="11"/>
    </row>
    <row r="260">
      <c r="K260" s="12"/>
      <c r="L260" s="12"/>
      <c r="M260" s="13"/>
      <c r="N260" s="11"/>
      <c r="O260" s="11"/>
    </row>
    <row r="261">
      <c r="K261" s="12"/>
      <c r="L261" s="12"/>
      <c r="M261" s="13"/>
      <c r="N261" s="11"/>
      <c r="O261" s="11"/>
    </row>
    <row r="262">
      <c r="K262" s="12"/>
      <c r="L262" s="12"/>
      <c r="M262" s="13"/>
      <c r="N262" s="11"/>
      <c r="O262" s="11"/>
    </row>
    <row r="263">
      <c r="K263" s="12"/>
      <c r="L263" s="12"/>
      <c r="M263" s="13"/>
      <c r="N263" s="11"/>
      <c r="O263" s="11"/>
    </row>
    <row r="264">
      <c r="K264" s="12"/>
      <c r="L264" s="12"/>
      <c r="M264" s="13"/>
      <c r="N264" s="11"/>
      <c r="O264" s="11"/>
    </row>
    <row r="265">
      <c r="K265" s="12"/>
      <c r="L265" s="12"/>
      <c r="M265" s="13"/>
      <c r="N265" s="11"/>
      <c r="O265" s="11"/>
    </row>
    <row r="266">
      <c r="K266" s="12"/>
      <c r="L266" s="12"/>
      <c r="M266" s="13"/>
      <c r="N266" s="11"/>
      <c r="O266" s="11"/>
    </row>
    <row r="267">
      <c r="K267" s="12"/>
      <c r="L267" s="12"/>
      <c r="M267" s="13"/>
      <c r="N267" s="11"/>
      <c r="O267" s="11"/>
    </row>
    <row r="268">
      <c r="K268" s="12"/>
      <c r="L268" s="12"/>
      <c r="M268" s="13"/>
      <c r="N268" s="11"/>
      <c r="O268" s="11"/>
    </row>
    <row r="269">
      <c r="K269" s="12"/>
      <c r="L269" s="12"/>
      <c r="M269" s="13"/>
      <c r="N269" s="11"/>
      <c r="O269" s="11"/>
    </row>
    <row r="270">
      <c r="K270" s="12"/>
      <c r="L270" s="12"/>
      <c r="M270" s="13"/>
      <c r="N270" s="11"/>
      <c r="O270" s="11"/>
    </row>
    <row r="271">
      <c r="K271" s="12"/>
      <c r="L271" s="12"/>
      <c r="M271" s="13"/>
      <c r="N271" s="11"/>
      <c r="O271" s="11"/>
    </row>
    <row r="272">
      <c r="K272" s="12"/>
      <c r="L272" s="12"/>
      <c r="M272" s="13"/>
      <c r="N272" s="11"/>
      <c r="O272" s="11"/>
    </row>
    <row r="273">
      <c r="K273" s="12"/>
      <c r="L273" s="12"/>
      <c r="M273" s="13"/>
      <c r="N273" s="11"/>
      <c r="O273" s="11"/>
    </row>
    <row r="274">
      <c r="K274" s="12"/>
      <c r="L274" s="12"/>
      <c r="M274" s="13"/>
      <c r="N274" s="11"/>
      <c r="O274" s="11"/>
    </row>
    <row r="275">
      <c r="K275" s="12"/>
      <c r="L275" s="12"/>
      <c r="M275" s="13"/>
      <c r="N275" s="11"/>
      <c r="O275" s="11"/>
    </row>
    <row r="276">
      <c r="K276" s="12"/>
      <c r="L276" s="12"/>
      <c r="M276" s="13"/>
      <c r="N276" s="11"/>
      <c r="O276" s="11"/>
    </row>
    <row r="277">
      <c r="K277" s="12"/>
      <c r="L277" s="12"/>
      <c r="M277" s="13"/>
      <c r="N277" s="11"/>
      <c r="O277" s="11"/>
    </row>
    <row r="278">
      <c r="K278" s="12"/>
      <c r="L278" s="12"/>
      <c r="M278" s="13"/>
      <c r="N278" s="11"/>
      <c r="O278" s="11"/>
    </row>
    <row r="279">
      <c r="K279" s="12"/>
      <c r="L279" s="12"/>
      <c r="M279" s="13"/>
      <c r="N279" s="11"/>
      <c r="O279" s="11"/>
    </row>
    <row r="280">
      <c r="K280" s="12"/>
      <c r="L280" s="12"/>
      <c r="M280" s="13"/>
      <c r="N280" s="11"/>
      <c r="O280" s="11"/>
    </row>
    <row r="281">
      <c r="K281" s="12"/>
      <c r="L281" s="12"/>
      <c r="M281" s="13"/>
      <c r="N281" s="11"/>
      <c r="O281" s="11"/>
    </row>
    <row r="282">
      <c r="K282" s="12"/>
      <c r="L282" s="12"/>
      <c r="M282" s="13"/>
      <c r="N282" s="11"/>
      <c r="O282" s="11"/>
    </row>
    <row r="283">
      <c r="K283" s="12"/>
      <c r="L283" s="12"/>
      <c r="M283" s="13"/>
      <c r="N283" s="11"/>
      <c r="O283" s="11"/>
    </row>
    <row r="284">
      <c r="K284" s="12"/>
      <c r="L284" s="12"/>
      <c r="M284" s="13"/>
      <c r="N284" s="11"/>
      <c r="O284" s="11"/>
    </row>
    <row r="285">
      <c r="K285" s="12"/>
      <c r="L285" s="12"/>
      <c r="M285" s="13"/>
      <c r="N285" s="11"/>
      <c r="O285" s="11"/>
    </row>
    <row r="286">
      <c r="K286" s="12"/>
      <c r="L286" s="12"/>
      <c r="M286" s="13"/>
      <c r="N286" s="11"/>
      <c r="O286" s="11"/>
    </row>
    <row r="287">
      <c r="K287" s="12"/>
      <c r="L287" s="12"/>
      <c r="M287" s="13"/>
      <c r="N287" s="11"/>
      <c r="O287" s="11"/>
    </row>
    <row r="288">
      <c r="K288" s="12"/>
      <c r="L288" s="12"/>
      <c r="M288" s="13"/>
      <c r="N288" s="11"/>
      <c r="O288" s="11"/>
    </row>
    <row r="289">
      <c r="K289" s="12"/>
      <c r="L289" s="12"/>
      <c r="M289" s="13"/>
      <c r="N289" s="11"/>
      <c r="O289" s="11"/>
    </row>
    <row r="290">
      <c r="K290" s="12"/>
      <c r="L290" s="12"/>
      <c r="M290" s="13"/>
      <c r="N290" s="11"/>
      <c r="O290" s="11"/>
    </row>
    <row r="291">
      <c r="K291" s="12"/>
      <c r="L291" s="12"/>
      <c r="M291" s="13"/>
      <c r="N291" s="11"/>
      <c r="O291" s="11"/>
    </row>
    <row r="292">
      <c r="K292" s="12"/>
      <c r="L292" s="12"/>
      <c r="M292" s="13"/>
      <c r="N292" s="11"/>
      <c r="O292" s="11"/>
    </row>
    <row r="293">
      <c r="K293" s="12"/>
      <c r="L293" s="12"/>
      <c r="M293" s="13"/>
      <c r="N293" s="11"/>
      <c r="O293" s="11"/>
    </row>
    <row r="294">
      <c r="K294" s="12"/>
      <c r="L294" s="12"/>
      <c r="M294" s="13"/>
      <c r="N294" s="11"/>
      <c r="O294" s="11"/>
    </row>
    <row r="295">
      <c r="K295" s="12"/>
      <c r="L295" s="12"/>
      <c r="M295" s="13"/>
      <c r="N295" s="11"/>
      <c r="O295" s="11"/>
    </row>
    <row r="296">
      <c r="K296" s="12"/>
      <c r="L296" s="12"/>
      <c r="M296" s="13"/>
      <c r="N296" s="11"/>
      <c r="O296" s="11"/>
    </row>
    <row r="297">
      <c r="K297" s="12"/>
      <c r="L297" s="12"/>
      <c r="M297" s="13"/>
      <c r="N297" s="11"/>
      <c r="O297" s="11"/>
    </row>
    <row r="298">
      <c r="K298" s="12"/>
      <c r="L298" s="12"/>
      <c r="M298" s="13"/>
      <c r="N298" s="11"/>
      <c r="O298" s="11"/>
    </row>
    <row r="299">
      <c r="K299" s="12"/>
      <c r="L299" s="12"/>
      <c r="M299" s="13"/>
      <c r="N299" s="11"/>
      <c r="O299" s="11"/>
    </row>
    <row r="300">
      <c r="K300" s="12"/>
      <c r="L300" s="12"/>
      <c r="M300" s="13"/>
      <c r="N300" s="11"/>
      <c r="O300" s="11"/>
    </row>
    <row r="301">
      <c r="K301" s="12"/>
      <c r="L301" s="12"/>
      <c r="M301" s="13"/>
      <c r="N301" s="11"/>
      <c r="O301" s="11"/>
    </row>
    <row r="302">
      <c r="K302" s="12"/>
      <c r="L302" s="12"/>
      <c r="M302" s="13"/>
      <c r="N302" s="11"/>
      <c r="O302" s="11"/>
    </row>
    <row r="303">
      <c r="K303" s="12"/>
      <c r="L303" s="12"/>
      <c r="M303" s="13"/>
      <c r="N303" s="11"/>
      <c r="O303" s="11"/>
    </row>
    <row r="304">
      <c r="K304" s="12"/>
      <c r="L304" s="12"/>
      <c r="M304" s="13"/>
      <c r="N304" s="11"/>
      <c r="O304" s="11"/>
    </row>
    <row r="305">
      <c r="K305" s="12"/>
      <c r="L305" s="12"/>
      <c r="M305" s="13"/>
      <c r="N305" s="11"/>
      <c r="O305" s="11"/>
    </row>
    <row r="306">
      <c r="K306" s="12"/>
      <c r="L306" s="12"/>
      <c r="M306" s="13"/>
      <c r="N306" s="11"/>
      <c r="O306" s="11"/>
    </row>
    <row r="307">
      <c r="K307" s="12"/>
      <c r="L307" s="12"/>
      <c r="M307" s="13"/>
      <c r="N307" s="11"/>
      <c r="O307" s="11"/>
    </row>
    <row r="308">
      <c r="K308" s="12"/>
      <c r="L308" s="12"/>
      <c r="M308" s="13"/>
      <c r="N308" s="11"/>
      <c r="O308" s="11"/>
    </row>
    <row r="309">
      <c r="K309" s="12"/>
      <c r="L309" s="12"/>
      <c r="M309" s="13"/>
      <c r="N309" s="11"/>
      <c r="O309" s="11"/>
    </row>
    <row r="310">
      <c r="K310" s="12"/>
      <c r="L310" s="12"/>
      <c r="M310" s="13"/>
      <c r="N310" s="11"/>
      <c r="O310" s="11"/>
    </row>
    <row r="311">
      <c r="K311" s="12"/>
      <c r="L311" s="12"/>
      <c r="M311" s="13"/>
      <c r="N311" s="11"/>
      <c r="O311" s="11"/>
    </row>
    <row r="312">
      <c r="K312" s="12"/>
      <c r="L312" s="12"/>
      <c r="M312" s="13"/>
      <c r="N312" s="11"/>
      <c r="O312" s="11"/>
    </row>
    <row r="313">
      <c r="K313" s="12"/>
      <c r="L313" s="12"/>
      <c r="M313" s="13"/>
      <c r="N313" s="11"/>
      <c r="O313" s="11"/>
    </row>
    <row r="314">
      <c r="K314" s="12"/>
      <c r="L314" s="12"/>
      <c r="M314" s="13"/>
      <c r="N314" s="11"/>
      <c r="O314" s="11"/>
    </row>
    <row r="315">
      <c r="K315" s="12"/>
      <c r="L315" s="12"/>
      <c r="M315" s="13"/>
      <c r="N315" s="11"/>
      <c r="O315" s="11"/>
    </row>
    <row r="316">
      <c r="K316" s="12"/>
      <c r="L316" s="12"/>
      <c r="M316" s="13"/>
      <c r="N316" s="11"/>
      <c r="O316" s="11"/>
    </row>
    <row r="317">
      <c r="K317" s="12"/>
      <c r="L317" s="12"/>
      <c r="M317" s="13"/>
      <c r="N317" s="11"/>
      <c r="O317" s="11"/>
    </row>
    <row r="318">
      <c r="K318" s="12"/>
      <c r="L318" s="12"/>
      <c r="M318" s="13"/>
      <c r="N318" s="11"/>
      <c r="O318" s="11"/>
    </row>
    <row r="319">
      <c r="K319" s="12"/>
      <c r="L319" s="12"/>
      <c r="M319" s="13"/>
      <c r="N319" s="11"/>
      <c r="O319" s="11"/>
    </row>
    <row r="320">
      <c r="K320" s="12"/>
      <c r="L320" s="12"/>
      <c r="M320" s="13"/>
      <c r="N320" s="11"/>
      <c r="O320" s="11"/>
    </row>
    <row r="321">
      <c r="K321" s="12"/>
      <c r="L321" s="12"/>
      <c r="M321" s="13"/>
      <c r="N321" s="11"/>
      <c r="O321" s="11"/>
    </row>
    <row r="322">
      <c r="K322" s="12"/>
      <c r="L322" s="12"/>
      <c r="M322" s="13"/>
      <c r="N322" s="11"/>
      <c r="O322" s="11"/>
    </row>
    <row r="323">
      <c r="K323" s="12"/>
      <c r="L323" s="12"/>
      <c r="M323" s="13"/>
      <c r="N323" s="11"/>
      <c r="O323" s="11"/>
    </row>
    <row r="324">
      <c r="K324" s="12"/>
      <c r="L324" s="12"/>
      <c r="M324" s="13"/>
      <c r="N324" s="11"/>
      <c r="O324" s="11"/>
    </row>
    <row r="325">
      <c r="K325" s="12"/>
      <c r="L325" s="12"/>
      <c r="M325" s="13"/>
      <c r="N325" s="11"/>
      <c r="O325" s="11"/>
    </row>
    <row r="326">
      <c r="K326" s="12"/>
      <c r="L326" s="12"/>
      <c r="M326" s="13"/>
      <c r="N326" s="11"/>
      <c r="O326" s="11"/>
    </row>
    <row r="327">
      <c r="K327" s="12"/>
      <c r="L327" s="12"/>
      <c r="M327" s="13"/>
      <c r="N327" s="11"/>
      <c r="O327" s="11"/>
    </row>
    <row r="328">
      <c r="K328" s="12"/>
      <c r="L328" s="12"/>
      <c r="M328" s="13"/>
      <c r="N328" s="11"/>
      <c r="O328" s="11"/>
    </row>
    <row r="329">
      <c r="K329" s="12"/>
      <c r="L329" s="12"/>
      <c r="M329" s="13"/>
      <c r="N329" s="11"/>
      <c r="O329" s="11"/>
    </row>
    <row r="330">
      <c r="K330" s="12"/>
      <c r="L330" s="12"/>
      <c r="M330" s="13"/>
      <c r="N330" s="11"/>
      <c r="O330" s="11"/>
    </row>
    <row r="331">
      <c r="K331" s="12"/>
      <c r="L331" s="12"/>
      <c r="M331" s="13"/>
      <c r="N331" s="11"/>
      <c r="O331" s="11"/>
    </row>
    <row r="332">
      <c r="K332" s="12"/>
      <c r="L332" s="12"/>
      <c r="M332" s="13"/>
      <c r="N332" s="11"/>
      <c r="O332" s="11"/>
    </row>
    <row r="333">
      <c r="K333" s="12"/>
      <c r="L333" s="12"/>
      <c r="M333" s="13"/>
      <c r="N333" s="11"/>
      <c r="O333" s="11"/>
    </row>
    <row r="334">
      <c r="K334" s="12"/>
      <c r="L334" s="12"/>
      <c r="M334" s="13"/>
      <c r="N334" s="11"/>
      <c r="O334" s="11"/>
    </row>
    <row r="335">
      <c r="K335" s="12"/>
      <c r="L335" s="12"/>
      <c r="M335" s="13"/>
      <c r="N335" s="11"/>
      <c r="O335" s="11"/>
    </row>
    <row r="336">
      <c r="K336" s="12"/>
      <c r="L336" s="12"/>
      <c r="M336" s="13"/>
      <c r="N336" s="11"/>
      <c r="O336" s="11"/>
    </row>
    <row r="337">
      <c r="K337" s="12"/>
      <c r="L337" s="12"/>
      <c r="M337" s="13"/>
      <c r="N337" s="11"/>
      <c r="O337" s="11"/>
    </row>
    <row r="338">
      <c r="K338" s="12"/>
      <c r="L338" s="12"/>
      <c r="M338" s="13"/>
      <c r="N338" s="11"/>
      <c r="O338" s="11"/>
    </row>
    <row r="339">
      <c r="K339" s="12"/>
      <c r="L339" s="12"/>
      <c r="M339" s="13"/>
      <c r="N339" s="11"/>
      <c r="O339" s="11"/>
    </row>
    <row r="340">
      <c r="K340" s="12"/>
      <c r="L340" s="12"/>
      <c r="M340" s="13"/>
      <c r="N340" s="11"/>
      <c r="O340" s="11"/>
    </row>
    <row r="341">
      <c r="K341" s="12"/>
      <c r="L341" s="12"/>
      <c r="M341" s="13"/>
      <c r="N341" s="11"/>
      <c r="O341" s="11"/>
    </row>
    <row r="342">
      <c r="K342" s="12"/>
      <c r="L342" s="12"/>
      <c r="M342" s="13"/>
      <c r="N342" s="11"/>
      <c r="O342" s="11"/>
    </row>
    <row r="343">
      <c r="K343" s="12"/>
      <c r="L343" s="12"/>
      <c r="M343" s="13"/>
      <c r="N343" s="11"/>
      <c r="O343" s="11"/>
    </row>
    <row r="344">
      <c r="K344" s="12"/>
      <c r="L344" s="12"/>
      <c r="M344" s="13"/>
      <c r="N344" s="11"/>
      <c r="O344" s="11"/>
    </row>
    <row r="345">
      <c r="K345" s="12"/>
      <c r="L345" s="12"/>
      <c r="M345" s="13"/>
      <c r="N345" s="11"/>
      <c r="O345" s="11"/>
    </row>
    <row r="346">
      <c r="K346" s="12"/>
      <c r="L346" s="12"/>
      <c r="M346" s="13"/>
      <c r="N346" s="11"/>
      <c r="O346" s="11"/>
    </row>
    <row r="347">
      <c r="K347" s="12"/>
      <c r="L347" s="12"/>
      <c r="M347" s="13"/>
      <c r="N347" s="11"/>
      <c r="O347" s="11"/>
    </row>
    <row r="348">
      <c r="K348" s="12"/>
      <c r="L348" s="12"/>
      <c r="M348" s="13"/>
      <c r="N348" s="11"/>
      <c r="O348" s="11"/>
    </row>
    <row r="349">
      <c r="K349" s="12"/>
      <c r="L349" s="12"/>
      <c r="M349" s="13"/>
      <c r="N349" s="11"/>
      <c r="O349" s="11"/>
    </row>
    <row r="350">
      <c r="K350" s="12"/>
      <c r="L350" s="12"/>
      <c r="M350" s="13"/>
      <c r="N350" s="11"/>
      <c r="O350" s="11"/>
    </row>
    <row r="351">
      <c r="K351" s="12"/>
      <c r="L351" s="12"/>
      <c r="M351" s="13"/>
      <c r="N351" s="11"/>
      <c r="O351" s="11"/>
    </row>
    <row r="352">
      <c r="K352" s="12"/>
      <c r="L352" s="12"/>
      <c r="M352" s="13"/>
      <c r="N352" s="11"/>
      <c r="O352" s="11"/>
    </row>
    <row r="353">
      <c r="K353" s="12"/>
      <c r="L353" s="12"/>
      <c r="M353" s="13"/>
      <c r="N353" s="11"/>
      <c r="O353" s="11"/>
    </row>
    <row r="354">
      <c r="K354" s="12"/>
      <c r="L354" s="12"/>
      <c r="M354" s="13"/>
      <c r="N354" s="11"/>
      <c r="O354" s="11"/>
    </row>
    <row r="355">
      <c r="K355" s="12"/>
      <c r="L355" s="12"/>
      <c r="M355" s="13"/>
      <c r="N355" s="11"/>
      <c r="O355" s="11"/>
    </row>
    <row r="356">
      <c r="K356" s="12"/>
      <c r="L356" s="12"/>
      <c r="M356" s="13"/>
      <c r="N356" s="11"/>
      <c r="O356" s="11"/>
    </row>
    <row r="357">
      <c r="K357" s="12"/>
      <c r="L357" s="12"/>
      <c r="M357" s="13"/>
      <c r="N357" s="11"/>
      <c r="O357" s="11"/>
    </row>
    <row r="358">
      <c r="K358" s="12"/>
      <c r="L358" s="12"/>
      <c r="M358" s="13"/>
      <c r="N358" s="11"/>
      <c r="O358" s="11"/>
    </row>
    <row r="359">
      <c r="K359" s="12"/>
      <c r="L359" s="12"/>
      <c r="M359" s="13"/>
      <c r="N359" s="11"/>
      <c r="O359" s="11"/>
    </row>
    <row r="360">
      <c r="K360" s="12"/>
      <c r="L360" s="12"/>
      <c r="M360" s="13"/>
      <c r="N360" s="11"/>
      <c r="O360" s="11"/>
    </row>
    <row r="361">
      <c r="K361" s="12"/>
      <c r="L361" s="12"/>
      <c r="M361" s="13"/>
      <c r="N361" s="11"/>
      <c r="O361" s="11"/>
    </row>
    <row r="362">
      <c r="K362" s="12"/>
      <c r="L362" s="12"/>
      <c r="M362" s="13"/>
      <c r="N362" s="11"/>
      <c r="O362" s="11"/>
    </row>
    <row r="363">
      <c r="K363" s="12"/>
      <c r="L363" s="12"/>
      <c r="M363" s="13"/>
      <c r="N363" s="11"/>
      <c r="O363" s="11"/>
    </row>
    <row r="364">
      <c r="K364" s="12"/>
      <c r="L364" s="12"/>
      <c r="M364" s="13"/>
      <c r="N364" s="11"/>
      <c r="O364" s="11"/>
    </row>
    <row r="365">
      <c r="K365" s="12"/>
      <c r="L365" s="12"/>
      <c r="M365" s="13"/>
      <c r="N365" s="11"/>
      <c r="O365" s="11"/>
    </row>
    <row r="366">
      <c r="K366" s="12"/>
      <c r="L366" s="12"/>
      <c r="M366" s="13"/>
      <c r="N366" s="11"/>
      <c r="O366" s="11"/>
    </row>
    <row r="367">
      <c r="K367" s="12"/>
      <c r="L367" s="12"/>
      <c r="M367" s="13"/>
      <c r="N367" s="11"/>
      <c r="O367" s="11"/>
    </row>
    <row r="368">
      <c r="K368" s="12"/>
      <c r="L368" s="12"/>
      <c r="M368" s="13"/>
      <c r="N368" s="11"/>
      <c r="O368" s="11"/>
    </row>
    <row r="369">
      <c r="K369" s="12"/>
      <c r="L369" s="12"/>
      <c r="M369" s="13"/>
      <c r="N369" s="11"/>
      <c r="O369" s="11"/>
    </row>
    <row r="370">
      <c r="K370" s="12"/>
      <c r="L370" s="12"/>
      <c r="M370" s="13"/>
      <c r="N370" s="11"/>
      <c r="O370" s="11"/>
    </row>
    <row r="371">
      <c r="K371" s="12"/>
      <c r="L371" s="12"/>
      <c r="M371" s="13"/>
      <c r="N371" s="11"/>
      <c r="O371" s="11"/>
    </row>
    <row r="372">
      <c r="K372" s="12"/>
      <c r="L372" s="12"/>
      <c r="M372" s="13"/>
      <c r="N372" s="11"/>
      <c r="O372" s="11"/>
    </row>
    <row r="373">
      <c r="K373" s="12"/>
      <c r="L373" s="12"/>
      <c r="M373" s="13"/>
      <c r="N373" s="11"/>
      <c r="O373" s="11"/>
    </row>
    <row r="374">
      <c r="K374" s="12"/>
      <c r="L374" s="12"/>
      <c r="M374" s="13"/>
      <c r="N374" s="11"/>
      <c r="O374" s="11"/>
    </row>
    <row r="375">
      <c r="K375" s="12"/>
      <c r="L375" s="12"/>
      <c r="M375" s="13"/>
      <c r="N375" s="11"/>
      <c r="O375" s="11"/>
    </row>
    <row r="376">
      <c r="K376" s="12"/>
      <c r="L376" s="12"/>
      <c r="M376" s="13"/>
      <c r="N376" s="11"/>
      <c r="O376" s="11"/>
    </row>
    <row r="377">
      <c r="K377" s="12"/>
      <c r="L377" s="12"/>
      <c r="M377" s="13"/>
      <c r="N377" s="11"/>
      <c r="O377" s="11"/>
    </row>
    <row r="378">
      <c r="K378" s="12"/>
      <c r="L378" s="12"/>
      <c r="M378" s="13"/>
      <c r="N378" s="11"/>
      <c r="O378" s="11"/>
    </row>
    <row r="379">
      <c r="K379" s="12"/>
      <c r="L379" s="12"/>
      <c r="M379" s="13"/>
      <c r="N379" s="11"/>
      <c r="O379" s="11"/>
    </row>
    <row r="380">
      <c r="K380" s="12"/>
      <c r="L380" s="12"/>
      <c r="M380" s="13"/>
      <c r="N380" s="11"/>
      <c r="O380" s="11"/>
    </row>
    <row r="381">
      <c r="K381" s="12"/>
      <c r="L381" s="12"/>
      <c r="M381" s="13"/>
      <c r="N381" s="11"/>
      <c r="O381" s="11"/>
    </row>
    <row r="382">
      <c r="K382" s="12"/>
      <c r="L382" s="12"/>
      <c r="M382" s="13"/>
      <c r="N382" s="11"/>
      <c r="O382" s="11"/>
    </row>
    <row r="383">
      <c r="K383" s="12"/>
      <c r="L383" s="12"/>
      <c r="M383" s="13"/>
      <c r="N383" s="11"/>
      <c r="O383" s="11"/>
    </row>
    <row r="384">
      <c r="K384" s="12"/>
      <c r="L384" s="12"/>
      <c r="M384" s="13"/>
      <c r="N384" s="11"/>
      <c r="O384" s="11"/>
    </row>
    <row r="385">
      <c r="K385" s="12"/>
      <c r="L385" s="12"/>
      <c r="M385" s="13"/>
      <c r="N385" s="11"/>
      <c r="O385" s="11"/>
    </row>
    <row r="386">
      <c r="K386" s="12"/>
      <c r="L386" s="12"/>
      <c r="M386" s="13"/>
      <c r="N386" s="11"/>
      <c r="O386" s="11"/>
    </row>
    <row r="387">
      <c r="K387" s="12"/>
      <c r="L387" s="12"/>
      <c r="M387" s="13"/>
      <c r="N387" s="11"/>
      <c r="O387" s="11"/>
    </row>
    <row r="388">
      <c r="K388" s="12"/>
      <c r="L388" s="12"/>
      <c r="M388" s="13"/>
      <c r="N388" s="11"/>
      <c r="O388" s="11"/>
    </row>
    <row r="389">
      <c r="K389" s="12"/>
      <c r="L389" s="12"/>
      <c r="M389" s="13"/>
      <c r="N389" s="11"/>
      <c r="O389" s="11"/>
    </row>
    <row r="390">
      <c r="K390" s="12"/>
      <c r="L390" s="12"/>
      <c r="M390" s="13"/>
      <c r="N390" s="11"/>
      <c r="O390" s="11"/>
    </row>
    <row r="391">
      <c r="K391" s="12"/>
      <c r="L391" s="12"/>
      <c r="M391" s="13"/>
      <c r="N391" s="11"/>
      <c r="O391" s="11"/>
    </row>
    <row r="392">
      <c r="K392" s="12"/>
      <c r="L392" s="12"/>
      <c r="M392" s="13"/>
      <c r="N392" s="11"/>
      <c r="O392" s="11"/>
    </row>
    <row r="393">
      <c r="K393" s="12"/>
      <c r="L393" s="12"/>
      <c r="M393" s="13"/>
      <c r="N393" s="11"/>
      <c r="O393" s="11"/>
    </row>
    <row r="394">
      <c r="K394" s="12"/>
      <c r="L394" s="12"/>
      <c r="M394" s="13"/>
      <c r="N394" s="11"/>
      <c r="O394" s="11"/>
    </row>
    <row r="395">
      <c r="K395" s="12"/>
      <c r="L395" s="12"/>
      <c r="M395" s="13"/>
      <c r="N395" s="11"/>
      <c r="O395" s="11"/>
    </row>
    <row r="396">
      <c r="K396" s="12"/>
      <c r="L396" s="12"/>
      <c r="M396" s="13"/>
      <c r="N396" s="11"/>
      <c r="O396" s="11"/>
    </row>
    <row r="397">
      <c r="K397" s="12"/>
      <c r="L397" s="12"/>
      <c r="M397" s="13"/>
      <c r="N397" s="11"/>
      <c r="O397" s="11"/>
    </row>
    <row r="398">
      <c r="K398" s="12"/>
      <c r="L398" s="12"/>
      <c r="M398" s="13"/>
      <c r="N398" s="11"/>
      <c r="O398" s="11"/>
    </row>
    <row r="399">
      <c r="K399" s="12"/>
      <c r="L399" s="12"/>
      <c r="M399" s="13"/>
      <c r="N399" s="11"/>
      <c r="O399" s="11"/>
    </row>
    <row r="400">
      <c r="K400" s="12"/>
      <c r="L400" s="12"/>
      <c r="M400" s="13"/>
      <c r="N400" s="11"/>
      <c r="O400" s="11"/>
    </row>
    <row r="401">
      <c r="K401" s="12"/>
      <c r="L401" s="12"/>
      <c r="M401" s="13"/>
      <c r="N401" s="11"/>
      <c r="O401" s="11"/>
    </row>
    <row r="402">
      <c r="K402" s="12"/>
      <c r="L402" s="12"/>
      <c r="M402" s="13"/>
      <c r="N402" s="11"/>
      <c r="O402" s="11"/>
    </row>
    <row r="403">
      <c r="K403" s="12"/>
      <c r="L403" s="12"/>
      <c r="M403" s="13"/>
      <c r="N403" s="11"/>
      <c r="O403" s="11"/>
    </row>
    <row r="404">
      <c r="K404" s="12"/>
      <c r="L404" s="12"/>
      <c r="M404" s="13"/>
      <c r="N404" s="11"/>
      <c r="O404" s="11"/>
    </row>
    <row r="405">
      <c r="K405" s="12"/>
      <c r="L405" s="12"/>
      <c r="M405" s="13"/>
      <c r="N405" s="11"/>
      <c r="O405" s="11"/>
    </row>
    <row r="406">
      <c r="K406" s="12"/>
      <c r="L406" s="12"/>
      <c r="M406" s="13"/>
      <c r="N406" s="11"/>
      <c r="O406" s="11"/>
    </row>
    <row r="407">
      <c r="K407" s="12"/>
      <c r="L407" s="12"/>
      <c r="M407" s="13"/>
      <c r="N407" s="11"/>
      <c r="O407" s="11"/>
    </row>
    <row r="408">
      <c r="K408" s="12"/>
      <c r="L408" s="12"/>
      <c r="M408" s="13"/>
      <c r="N408" s="11"/>
      <c r="O408" s="11"/>
    </row>
    <row r="409">
      <c r="K409" s="12"/>
      <c r="L409" s="12"/>
      <c r="M409" s="13"/>
      <c r="N409" s="11"/>
      <c r="O409" s="11"/>
    </row>
    <row r="410">
      <c r="K410" s="12"/>
      <c r="L410" s="12"/>
      <c r="M410" s="13"/>
      <c r="N410" s="11"/>
      <c r="O410" s="11"/>
    </row>
    <row r="411">
      <c r="K411" s="12"/>
      <c r="L411" s="12"/>
      <c r="M411" s="13"/>
      <c r="N411" s="11"/>
      <c r="O411" s="11"/>
    </row>
    <row r="412">
      <c r="K412" s="12"/>
      <c r="L412" s="12"/>
      <c r="M412" s="13"/>
      <c r="N412" s="11"/>
      <c r="O412" s="11"/>
    </row>
    <row r="413">
      <c r="K413" s="12"/>
      <c r="L413" s="12"/>
      <c r="M413" s="13"/>
      <c r="N413" s="11"/>
      <c r="O413" s="11"/>
    </row>
    <row r="414">
      <c r="K414" s="12"/>
      <c r="L414" s="12"/>
      <c r="M414" s="13"/>
      <c r="N414" s="11"/>
      <c r="O414" s="11"/>
    </row>
    <row r="415">
      <c r="K415" s="12"/>
      <c r="L415" s="12"/>
      <c r="M415" s="13"/>
      <c r="N415" s="11"/>
      <c r="O415" s="11"/>
    </row>
    <row r="416">
      <c r="K416" s="12"/>
      <c r="L416" s="12"/>
      <c r="M416" s="13"/>
      <c r="N416" s="11"/>
      <c r="O416" s="11"/>
    </row>
    <row r="417">
      <c r="K417" s="12"/>
      <c r="L417" s="12"/>
      <c r="M417" s="13"/>
      <c r="N417" s="11"/>
      <c r="O417" s="11"/>
    </row>
    <row r="418">
      <c r="K418" s="12"/>
      <c r="L418" s="12"/>
      <c r="M418" s="13"/>
      <c r="N418" s="11"/>
      <c r="O418" s="11"/>
    </row>
    <row r="419">
      <c r="K419" s="12"/>
      <c r="L419" s="12"/>
      <c r="M419" s="13"/>
      <c r="N419" s="11"/>
      <c r="O419" s="11"/>
    </row>
    <row r="420">
      <c r="K420" s="12"/>
      <c r="L420" s="12"/>
      <c r="M420" s="13"/>
      <c r="N420" s="11"/>
      <c r="O420" s="11"/>
    </row>
    <row r="421">
      <c r="K421" s="12"/>
      <c r="L421" s="12"/>
      <c r="M421" s="13"/>
      <c r="N421" s="11"/>
      <c r="O421" s="11"/>
    </row>
    <row r="422">
      <c r="K422" s="12"/>
      <c r="L422" s="12"/>
      <c r="M422" s="13"/>
      <c r="N422" s="11"/>
      <c r="O422" s="11"/>
    </row>
    <row r="423">
      <c r="K423" s="12"/>
      <c r="L423" s="12"/>
      <c r="M423" s="13"/>
      <c r="N423" s="11"/>
      <c r="O423" s="11"/>
    </row>
    <row r="424">
      <c r="K424" s="12"/>
      <c r="L424" s="12"/>
      <c r="M424" s="13"/>
      <c r="N424" s="11"/>
      <c r="O424" s="11"/>
    </row>
    <row r="425">
      <c r="K425" s="12"/>
      <c r="L425" s="12"/>
      <c r="M425" s="13"/>
      <c r="N425" s="11"/>
      <c r="O425" s="11"/>
    </row>
    <row r="426">
      <c r="K426" s="12"/>
      <c r="L426" s="12"/>
      <c r="M426" s="13"/>
      <c r="N426" s="11"/>
      <c r="O426" s="11"/>
    </row>
    <row r="427">
      <c r="K427" s="12"/>
      <c r="L427" s="12"/>
      <c r="M427" s="13"/>
      <c r="N427" s="11"/>
      <c r="O427" s="11"/>
    </row>
    <row r="428">
      <c r="K428" s="12"/>
      <c r="L428" s="12"/>
      <c r="M428" s="13"/>
      <c r="N428" s="11"/>
      <c r="O428" s="11"/>
    </row>
    <row r="429">
      <c r="K429" s="12"/>
      <c r="L429" s="12"/>
      <c r="M429" s="13"/>
      <c r="N429" s="11"/>
      <c r="O429" s="11"/>
    </row>
    <row r="430">
      <c r="K430" s="12"/>
      <c r="L430" s="12"/>
      <c r="M430" s="13"/>
      <c r="N430" s="11"/>
      <c r="O430" s="11"/>
    </row>
    <row r="431">
      <c r="K431" s="12"/>
      <c r="L431" s="12"/>
      <c r="M431" s="13"/>
      <c r="N431" s="11"/>
      <c r="O431" s="11"/>
    </row>
    <row r="432">
      <c r="K432" s="12"/>
      <c r="L432" s="12"/>
      <c r="M432" s="13"/>
      <c r="N432" s="11"/>
      <c r="O432" s="11"/>
    </row>
    <row r="433">
      <c r="K433" s="12"/>
      <c r="L433" s="12"/>
      <c r="M433" s="13"/>
      <c r="N433" s="11"/>
      <c r="O433" s="11"/>
    </row>
    <row r="434">
      <c r="K434" s="12"/>
      <c r="L434" s="12"/>
      <c r="M434" s="13"/>
      <c r="N434" s="11"/>
      <c r="O434" s="11"/>
    </row>
    <row r="435">
      <c r="K435" s="12"/>
      <c r="L435" s="12"/>
      <c r="M435" s="13"/>
      <c r="N435" s="11"/>
      <c r="O435" s="11"/>
    </row>
    <row r="436">
      <c r="K436" s="12"/>
      <c r="L436" s="12"/>
      <c r="M436" s="13"/>
      <c r="N436" s="11"/>
      <c r="O436" s="11"/>
    </row>
    <row r="437">
      <c r="K437" s="12"/>
      <c r="L437" s="12"/>
      <c r="M437" s="13"/>
      <c r="N437" s="11"/>
      <c r="O437" s="11"/>
    </row>
    <row r="438">
      <c r="K438" s="12"/>
      <c r="L438" s="12"/>
      <c r="M438" s="13"/>
      <c r="N438" s="11"/>
      <c r="O438" s="11"/>
    </row>
    <row r="439">
      <c r="K439" s="12"/>
      <c r="L439" s="12"/>
      <c r="M439" s="13"/>
      <c r="N439" s="11"/>
      <c r="O439" s="11"/>
    </row>
    <row r="440">
      <c r="K440" s="12"/>
      <c r="L440" s="12"/>
      <c r="M440" s="13"/>
      <c r="N440" s="11"/>
      <c r="O440" s="11"/>
    </row>
    <row r="441">
      <c r="K441" s="12"/>
      <c r="L441" s="12"/>
      <c r="M441" s="13"/>
      <c r="N441" s="11"/>
      <c r="O441" s="11"/>
    </row>
    <row r="442">
      <c r="K442" s="12"/>
      <c r="L442" s="12"/>
      <c r="M442" s="13"/>
      <c r="N442" s="11"/>
      <c r="O442" s="11"/>
    </row>
    <row r="443">
      <c r="K443" s="12"/>
      <c r="L443" s="12"/>
      <c r="M443" s="13"/>
      <c r="N443" s="11"/>
      <c r="O443" s="11"/>
    </row>
    <row r="444">
      <c r="K444" s="12"/>
      <c r="L444" s="12"/>
      <c r="M444" s="13"/>
      <c r="N444" s="11"/>
      <c r="O444" s="11"/>
    </row>
    <row r="445">
      <c r="K445" s="12"/>
      <c r="L445" s="12"/>
      <c r="M445" s="13"/>
      <c r="N445" s="11"/>
      <c r="O445" s="11"/>
    </row>
    <row r="446">
      <c r="K446" s="12"/>
      <c r="L446" s="12"/>
      <c r="M446" s="13"/>
      <c r="N446" s="11"/>
      <c r="O446" s="11"/>
    </row>
    <row r="447">
      <c r="K447" s="12"/>
      <c r="L447" s="12"/>
      <c r="M447" s="13"/>
      <c r="N447" s="11"/>
      <c r="O447" s="11"/>
    </row>
    <row r="448">
      <c r="K448" s="12"/>
      <c r="L448" s="12"/>
      <c r="M448" s="13"/>
      <c r="N448" s="11"/>
      <c r="O448" s="11"/>
    </row>
    <row r="449">
      <c r="K449" s="12"/>
      <c r="L449" s="12"/>
      <c r="M449" s="13"/>
      <c r="N449" s="11"/>
      <c r="O449" s="11"/>
    </row>
    <row r="450">
      <c r="K450" s="12"/>
      <c r="L450" s="12"/>
      <c r="M450" s="13"/>
      <c r="N450" s="11"/>
      <c r="O450" s="11"/>
    </row>
    <row r="451">
      <c r="K451" s="12"/>
      <c r="L451" s="12"/>
      <c r="M451" s="13"/>
      <c r="N451" s="11"/>
      <c r="O451" s="11"/>
    </row>
    <row r="452">
      <c r="K452" s="12"/>
      <c r="L452" s="12"/>
      <c r="M452" s="13"/>
      <c r="N452" s="11"/>
      <c r="O452" s="11"/>
    </row>
    <row r="453">
      <c r="K453" s="12"/>
      <c r="L453" s="12"/>
      <c r="M453" s="13"/>
      <c r="N453" s="11"/>
      <c r="O453" s="11"/>
    </row>
    <row r="454">
      <c r="K454" s="12"/>
      <c r="L454" s="12"/>
      <c r="M454" s="13"/>
      <c r="N454" s="11"/>
      <c r="O454" s="11"/>
    </row>
    <row r="455">
      <c r="K455" s="12"/>
      <c r="L455" s="12"/>
      <c r="M455" s="13"/>
      <c r="N455" s="11"/>
      <c r="O455" s="11"/>
    </row>
    <row r="456">
      <c r="K456" s="12"/>
      <c r="L456" s="12"/>
      <c r="M456" s="13"/>
      <c r="N456" s="11"/>
      <c r="O456" s="11"/>
    </row>
    <row r="457">
      <c r="K457" s="12"/>
      <c r="L457" s="12"/>
      <c r="M457" s="13"/>
      <c r="N457" s="11"/>
      <c r="O457" s="11"/>
    </row>
    <row r="458">
      <c r="K458" s="12"/>
      <c r="L458" s="12"/>
      <c r="M458" s="13"/>
      <c r="N458" s="11"/>
      <c r="O458" s="11"/>
    </row>
    <row r="459">
      <c r="K459" s="12"/>
      <c r="L459" s="12"/>
      <c r="M459" s="13"/>
      <c r="N459" s="11"/>
      <c r="O459" s="11"/>
    </row>
    <row r="460">
      <c r="K460" s="12"/>
      <c r="L460" s="12"/>
      <c r="M460" s="13"/>
      <c r="N460" s="11"/>
      <c r="O460" s="11"/>
    </row>
    <row r="461">
      <c r="K461" s="12"/>
      <c r="L461" s="12"/>
      <c r="M461" s="13"/>
      <c r="N461" s="11"/>
      <c r="O461" s="11"/>
    </row>
    <row r="462">
      <c r="K462" s="12"/>
      <c r="L462" s="12"/>
      <c r="M462" s="13"/>
      <c r="N462" s="11"/>
      <c r="O462" s="11"/>
    </row>
    <row r="463">
      <c r="K463" s="12"/>
      <c r="L463" s="12"/>
      <c r="M463" s="13"/>
      <c r="N463" s="11"/>
      <c r="O463" s="11"/>
    </row>
    <row r="464">
      <c r="K464" s="12"/>
      <c r="L464" s="12"/>
      <c r="M464" s="13"/>
      <c r="N464" s="11"/>
      <c r="O464" s="11"/>
    </row>
    <row r="465">
      <c r="K465" s="12"/>
      <c r="L465" s="12"/>
      <c r="M465" s="13"/>
      <c r="N465" s="11"/>
      <c r="O465" s="11"/>
    </row>
    <row r="466">
      <c r="K466" s="12"/>
      <c r="L466" s="12"/>
      <c r="M466" s="13"/>
      <c r="N466" s="11"/>
      <c r="O466" s="11"/>
    </row>
    <row r="467">
      <c r="K467" s="12"/>
      <c r="L467" s="12"/>
      <c r="M467" s="13"/>
      <c r="N467" s="11"/>
      <c r="O467" s="11"/>
    </row>
    <row r="468">
      <c r="K468" s="12"/>
      <c r="L468" s="12"/>
      <c r="M468" s="13"/>
      <c r="N468" s="11"/>
      <c r="O468" s="11"/>
    </row>
    <row r="469">
      <c r="K469" s="12"/>
      <c r="L469" s="12"/>
      <c r="M469" s="13"/>
      <c r="N469" s="11"/>
      <c r="O469" s="11"/>
    </row>
    <row r="470">
      <c r="K470" s="12"/>
      <c r="L470" s="12"/>
      <c r="M470" s="13"/>
      <c r="N470" s="11"/>
      <c r="O470" s="11"/>
    </row>
    <row r="471">
      <c r="K471" s="12"/>
      <c r="L471" s="12"/>
      <c r="M471" s="13"/>
      <c r="N471" s="11"/>
      <c r="O471" s="11"/>
    </row>
    <row r="472">
      <c r="K472" s="12"/>
      <c r="L472" s="12"/>
      <c r="M472" s="13"/>
      <c r="N472" s="11"/>
      <c r="O472" s="11"/>
    </row>
    <row r="473">
      <c r="K473" s="12"/>
      <c r="L473" s="12"/>
      <c r="M473" s="13"/>
      <c r="N473" s="11"/>
      <c r="O473" s="11"/>
    </row>
    <row r="474">
      <c r="K474" s="12"/>
      <c r="L474" s="12"/>
      <c r="M474" s="13"/>
      <c r="N474" s="11"/>
      <c r="O474" s="11"/>
    </row>
    <row r="475">
      <c r="K475" s="12"/>
      <c r="L475" s="12"/>
      <c r="M475" s="13"/>
      <c r="N475" s="11"/>
      <c r="O475" s="11"/>
    </row>
    <row r="476">
      <c r="K476" s="12"/>
      <c r="L476" s="12"/>
      <c r="M476" s="13"/>
      <c r="N476" s="11"/>
      <c r="O476" s="11"/>
    </row>
    <row r="477">
      <c r="K477" s="12"/>
      <c r="L477" s="12"/>
      <c r="M477" s="13"/>
      <c r="N477" s="11"/>
      <c r="O477" s="11"/>
    </row>
    <row r="478">
      <c r="K478" s="12"/>
      <c r="L478" s="12"/>
      <c r="M478" s="13"/>
      <c r="N478" s="11"/>
      <c r="O478" s="11"/>
    </row>
    <row r="479">
      <c r="K479" s="12"/>
      <c r="L479" s="12"/>
      <c r="M479" s="13"/>
      <c r="N479" s="11"/>
      <c r="O479" s="11"/>
    </row>
    <row r="480">
      <c r="K480" s="12"/>
      <c r="L480" s="12"/>
      <c r="M480" s="13"/>
      <c r="N480" s="11"/>
      <c r="O480" s="11"/>
    </row>
    <row r="481">
      <c r="K481" s="12"/>
      <c r="L481" s="12"/>
      <c r="M481" s="13"/>
      <c r="N481" s="11"/>
      <c r="O481" s="11"/>
    </row>
    <row r="482">
      <c r="K482" s="12"/>
      <c r="L482" s="12"/>
      <c r="M482" s="13"/>
      <c r="N482" s="11"/>
      <c r="O482" s="11"/>
    </row>
    <row r="483">
      <c r="K483" s="12"/>
      <c r="L483" s="12"/>
      <c r="M483" s="13"/>
      <c r="N483" s="11"/>
      <c r="O483" s="11"/>
    </row>
    <row r="484">
      <c r="K484" s="12"/>
      <c r="L484" s="12"/>
      <c r="M484" s="13"/>
      <c r="N484" s="11"/>
      <c r="O484" s="11"/>
    </row>
    <row r="485">
      <c r="K485" s="12"/>
      <c r="L485" s="12"/>
      <c r="M485" s="13"/>
      <c r="N485" s="11"/>
      <c r="O485" s="11"/>
    </row>
    <row r="486">
      <c r="K486" s="12"/>
      <c r="L486" s="12"/>
      <c r="M486" s="13"/>
      <c r="N486" s="11"/>
      <c r="O486" s="11"/>
    </row>
    <row r="487">
      <c r="K487" s="12"/>
      <c r="L487" s="12"/>
      <c r="M487" s="13"/>
      <c r="N487" s="11"/>
      <c r="O487" s="11"/>
    </row>
    <row r="488">
      <c r="K488" s="12"/>
      <c r="L488" s="12"/>
      <c r="M488" s="13"/>
      <c r="N488" s="11"/>
      <c r="O488" s="11"/>
    </row>
    <row r="489">
      <c r="K489" s="12"/>
      <c r="L489" s="12"/>
      <c r="M489" s="13"/>
      <c r="N489" s="11"/>
      <c r="O489" s="11"/>
    </row>
    <row r="490">
      <c r="K490" s="12"/>
      <c r="L490" s="12"/>
      <c r="M490" s="13"/>
      <c r="N490" s="11"/>
      <c r="O490" s="11"/>
    </row>
    <row r="491">
      <c r="K491" s="12"/>
      <c r="L491" s="12"/>
      <c r="M491" s="13"/>
      <c r="N491" s="11"/>
      <c r="O491" s="11"/>
    </row>
    <row r="492">
      <c r="K492" s="12"/>
      <c r="L492" s="12"/>
      <c r="M492" s="13"/>
      <c r="N492" s="11"/>
      <c r="O492" s="11"/>
    </row>
    <row r="493">
      <c r="K493" s="12"/>
      <c r="L493" s="12"/>
      <c r="M493" s="13"/>
      <c r="N493" s="11"/>
      <c r="O493" s="11"/>
    </row>
    <row r="494">
      <c r="K494" s="12"/>
      <c r="L494" s="12"/>
      <c r="M494" s="13"/>
      <c r="N494" s="11"/>
      <c r="O494" s="11"/>
    </row>
    <row r="495">
      <c r="K495" s="12"/>
      <c r="L495" s="12"/>
      <c r="M495" s="13"/>
      <c r="N495" s="11"/>
      <c r="O495" s="11"/>
    </row>
    <row r="496">
      <c r="K496" s="12"/>
      <c r="L496" s="12"/>
      <c r="M496" s="13"/>
      <c r="N496" s="11"/>
      <c r="O496" s="11"/>
    </row>
    <row r="497">
      <c r="K497" s="12"/>
      <c r="L497" s="12"/>
      <c r="M497" s="13"/>
      <c r="N497" s="11"/>
      <c r="O497" s="11"/>
    </row>
    <row r="498">
      <c r="K498" s="12"/>
      <c r="L498" s="12"/>
      <c r="M498" s="13"/>
      <c r="N498" s="11"/>
      <c r="O498" s="11"/>
    </row>
    <row r="499">
      <c r="K499" s="12"/>
      <c r="L499" s="12"/>
      <c r="M499" s="13"/>
      <c r="N499" s="11"/>
      <c r="O499" s="11"/>
    </row>
    <row r="500">
      <c r="K500" s="12"/>
      <c r="L500" s="12"/>
      <c r="M500" s="13"/>
      <c r="N500" s="11"/>
      <c r="O500" s="11"/>
    </row>
    <row r="501">
      <c r="K501" s="12"/>
      <c r="L501" s="12"/>
      <c r="M501" s="13"/>
      <c r="N501" s="11"/>
      <c r="O501" s="11"/>
    </row>
    <row r="502">
      <c r="K502" s="12"/>
      <c r="L502" s="12"/>
      <c r="M502" s="13"/>
      <c r="N502" s="11"/>
      <c r="O502" s="11"/>
    </row>
    <row r="503">
      <c r="K503" s="12"/>
      <c r="L503" s="12"/>
      <c r="M503" s="13"/>
      <c r="N503" s="11"/>
      <c r="O503" s="11"/>
    </row>
    <row r="504">
      <c r="K504" s="12"/>
      <c r="L504" s="12"/>
      <c r="M504" s="13"/>
      <c r="N504" s="11"/>
      <c r="O504" s="11"/>
    </row>
    <row r="505">
      <c r="K505" s="12"/>
      <c r="L505" s="12"/>
      <c r="M505" s="13"/>
      <c r="N505" s="11"/>
      <c r="O505" s="11"/>
    </row>
    <row r="506">
      <c r="K506" s="12"/>
      <c r="L506" s="12"/>
      <c r="M506" s="13"/>
      <c r="N506" s="11"/>
      <c r="O506" s="11"/>
    </row>
    <row r="507">
      <c r="K507" s="12"/>
      <c r="L507" s="12"/>
      <c r="M507" s="13"/>
      <c r="N507" s="11"/>
      <c r="O507" s="11"/>
    </row>
    <row r="508">
      <c r="K508" s="12"/>
      <c r="L508" s="12"/>
      <c r="M508" s="13"/>
      <c r="N508" s="11"/>
      <c r="O508" s="11"/>
    </row>
    <row r="509">
      <c r="K509" s="12"/>
      <c r="L509" s="12"/>
      <c r="M509" s="13"/>
      <c r="N509" s="11"/>
      <c r="O509" s="11"/>
    </row>
    <row r="510">
      <c r="K510" s="12"/>
      <c r="L510" s="12"/>
      <c r="M510" s="13"/>
      <c r="N510" s="11"/>
      <c r="O510" s="11"/>
    </row>
    <row r="511">
      <c r="K511" s="12"/>
      <c r="L511" s="12"/>
      <c r="M511" s="13"/>
      <c r="N511" s="11"/>
      <c r="O511" s="11"/>
    </row>
    <row r="512">
      <c r="K512" s="12"/>
      <c r="L512" s="12"/>
      <c r="M512" s="13"/>
      <c r="N512" s="11"/>
      <c r="O512" s="11"/>
    </row>
    <row r="513">
      <c r="K513" s="12"/>
      <c r="L513" s="12"/>
      <c r="M513" s="13"/>
      <c r="N513" s="11"/>
      <c r="O513" s="11"/>
    </row>
    <row r="514">
      <c r="K514" s="12"/>
      <c r="L514" s="12"/>
      <c r="M514" s="13"/>
      <c r="N514" s="11"/>
      <c r="O514" s="11"/>
    </row>
    <row r="515">
      <c r="K515" s="12"/>
      <c r="L515" s="12"/>
      <c r="M515" s="13"/>
      <c r="N515" s="11"/>
      <c r="O515" s="11"/>
    </row>
    <row r="516">
      <c r="K516" s="12"/>
      <c r="L516" s="12"/>
      <c r="M516" s="13"/>
      <c r="N516" s="11"/>
      <c r="O516" s="11"/>
    </row>
    <row r="517">
      <c r="K517" s="12"/>
      <c r="L517" s="12"/>
      <c r="M517" s="13"/>
      <c r="N517" s="11"/>
      <c r="O517" s="11"/>
    </row>
    <row r="518">
      <c r="K518" s="12"/>
      <c r="L518" s="12"/>
      <c r="M518" s="13"/>
      <c r="N518" s="11"/>
      <c r="O518" s="11"/>
    </row>
    <row r="519">
      <c r="K519" s="12"/>
      <c r="L519" s="12"/>
      <c r="M519" s="13"/>
      <c r="N519" s="11"/>
      <c r="O519" s="11"/>
    </row>
    <row r="520">
      <c r="K520" s="12"/>
      <c r="L520" s="12"/>
      <c r="M520" s="13"/>
      <c r="N520" s="11"/>
      <c r="O520" s="11"/>
    </row>
    <row r="521">
      <c r="K521" s="12"/>
      <c r="L521" s="12"/>
      <c r="M521" s="13"/>
      <c r="N521" s="11"/>
      <c r="O521" s="11"/>
    </row>
    <row r="522">
      <c r="K522" s="12"/>
      <c r="L522" s="12"/>
      <c r="M522" s="13"/>
      <c r="N522" s="11"/>
      <c r="O522" s="11"/>
    </row>
    <row r="523">
      <c r="K523" s="12"/>
      <c r="L523" s="12"/>
      <c r="M523" s="13"/>
      <c r="N523" s="11"/>
      <c r="O523" s="11"/>
    </row>
    <row r="524">
      <c r="K524" s="12"/>
      <c r="L524" s="12"/>
      <c r="M524" s="13"/>
      <c r="N524" s="11"/>
      <c r="O524" s="11"/>
    </row>
    <row r="525">
      <c r="K525" s="12"/>
      <c r="L525" s="12"/>
      <c r="M525" s="13"/>
      <c r="N525" s="11"/>
      <c r="O525" s="11"/>
    </row>
    <row r="526">
      <c r="K526" s="12"/>
      <c r="L526" s="12"/>
      <c r="M526" s="13"/>
      <c r="N526" s="11"/>
      <c r="O526" s="11"/>
    </row>
    <row r="527">
      <c r="K527" s="12"/>
      <c r="L527" s="12"/>
      <c r="M527" s="13"/>
      <c r="N527" s="11"/>
      <c r="O527" s="11"/>
    </row>
    <row r="528">
      <c r="K528" s="12"/>
      <c r="L528" s="12"/>
      <c r="M528" s="13"/>
      <c r="N528" s="11"/>
      <c r="O528" s="11"/>
    </row>
    <row r="529">
      <c r="K529" s="12"/>
      <c r="L529" s="12"/>
      <c r="M529" s="13"/>
      <c r="N529" s="11"/>
      <c r="O529" s="11"/>
    </row>
    <row r="530">
      <c r="K530" s="12"/>
      <c r="L530" s="12"/>
      <c r="M530" s="13"/>
      <c r="N530" s="11"/>
      <c r="O530" s="11"/>
    </row>
    <row r="531">
      <c r="K531" s="12"/>
      <c r="L531" s="12"/>
      <c r="M531" s="13"/>
      <c r="N531" s="11"/>
      <c r="O531" s="11"/>
    </row>
    <row r="532">
      <c r="K532" s="12"/>
      <c r="L532" s="12"/>
      <c r="M532" s="13"/>
      <c r="N532" s="11"/>
      <c r="O532" s="11"/>
    </row>
    <row r="533">
      <c r="K533" s="12"/>
      <c r="L533" s="12"/>
      <c r="M533" s="13"/>
      <c r="N533" s="11"/>
      <c r="O533" s="11"/>
    </row>
    <row r="534">
      <c r="K534" s="12"/>
      <c r="L534" s="12"/>
      <c r="M534" s="13"/>
      <c r="N534" s="11"/>
      <c r="O534" s="11"/>
    </row>
    <row r="535">
      <c r="K535" s="12"/>
      <c r="L535" s="12"/>
      <c r="M535" s="13"/>
      <c r="N535" s="11"/>
      <c r="O535" s="11"/>
    </row>
    <row r="536">
      <c r="K536" s="12"/>
      <c r="L536" s="12"/>
      <c r="M536" s="13"/>
      <c r="N536" s="11"/>
      <c r="O536" s="11"/>
    </row>
    <row r="537">
      <c r="K537" s="12"/>
      <c r="L537" s="12"/>
      <c r="M537" s="13"/>
      <c r="N537" s="11"/>
      <c r="O537" s="11"/>
    </row>
    <row r="538">
      <c r="K538" s="12"/>
      <c r="L538" s="12"/>
      <c r="M538" s="13"/>
      <c r="N538" s="11"/>
      <c r="O538" s="11"/>
    </row>
    <row r="539">
      <c r="K539" s="12"/>
      <c r="L539" s="12"/>
      <c r="M539" s="13"/>
      <c r="N539" s="11"/>
      <c r="O539" s="11"/>
    </row>
    <row r="540">
      <c r="K540" s="12"/>
      <c r="L540" s="12"/>
      <c r="M540" s="13"/>
      <c r="N540" s="11"/>
      <c r="O540" s="11"/>
    </row>
    <row r="541">
      <c r="K541" s="12"/>
      <c r="L541" s="12"/>
      <c r="M541" s="13"/>
      <c r="N541" s="11"/>
      <c r="O541" s="11"/>
    </row>
    <row r="542">
      <c r="K542" s="12"/>
      <c r="L542" s="12"/>
      <c r="M542" s="13"/>
      <c r="N542" s="11"/>
      <c r="O542" s="11"/>
    </row>
    <row r="543">
      <c r="K543" s="12"/>
      <c r="L543" s="12"/>
      <c r="M543" s="13"/>
      <c r="N543" s="11"/>
      <c r="O543" s="11"/>
    </row>
    <row r="544">
      <c r="K544" s="12"/>
      <c r="L544" s="12"/>
      <c r="M544" s="13"/>
      <c r="N544" s="11"/>
      <c r="O544" s="11"/>
    </row>
    <row r="545">
      <c r="K545" s="12"/>
      <c r="L545" s="12"/>
      <c r="M545" s="13"/>
      <c r="N545" s="11"/>
      <c r="O545" s="11"/>
    </row>
    <row r="546">
      <c r="K546" s="12"/>
      <c r="L546" s="12"/>
      <c r="M546" s="13"/>
      <c r="N546" s="11"/>
      <c r="O546" s="11"/>
    </row>
    <row r="547">
      <c r="K547" s="12"/>
      <c r="L547" s="12"/>
      <c r="M547" s="13"/>
      <c r="N547" s="11"/>
      <c r="O547" s="11"/>
    </row>
    <row r="548">
      <c r="K548" s="12"/>
      <c r="L548" s="12"/>
      <c r="M548" s="13"/>
      <c r="N548" s="11"/>
      <c r="O548" s="11"/>
    </row>
    <row r="549">
      <c r="K549" s="12"/>
      <c r="L549" s="12"/>
      <c r="M549" s="13"/>
      <c r="N549" s="11"/>
      <c r="O549" s="11"/>
    </row>
    <row r="550">
      <c r="K550" s="12"/>
      <c r="L550" s="12"/>
      <c r="M550" s="13"/>
      <c r="N550" s="11"/>
      <c r="O550" s="11"/>
    </row>
    <row r="551">
      <c r="K551" s="12"/>
      <c r="L551" s="12"/>
      <c r="M551" s="13"/>
      <c r="N551" s="11"/>
      <c r="O551" s="11"/>
    </row>
    <row r="552">
      <c r="K552" s="12"/>
      <c r="L552" s="12"/>
      <c r="M552" s="13"/>
      <c r="N552" s="11"/>
      <c r="O552" s="11"/>
    </row>
    <row r="553">
      <c r="K553" s="12"/>
      <c r="L553" s="12"/>
      <c r="M553" s="13"/>
      <c r="N553" s="11"/>
      <c r="O553" s="11"/>
    </row>
    <row r="554">
      <c r="K554" s="12"/>
      <c r="L554" s="12"/>
      <c r="M554" s="13"/>
      <c r="N554" s="11"/>
      <c r="O554" s="11"/>
    </row>
    <row r="555">
      <c r="K555" s="12"/>
      <c r="L555" s="12"/>
      <c r="M555" s="13"/>
      <c r="N555" s="11"/>
      <c r="O555" s="11"/>
    </row>
    <row r="556">
      <c r="K556" s="12"/>
      <c r="L556" s="12"/>
      <c r="M556" s="13"/>
      <c r="N556" s="11"/>
      <c r="O556" s="11"/>
    </row>
    <row r="557">
      <c r="K557" s="12"/>
      <c r="L557" s="12"/>
      <c r="M557" s="13"/>
      <c r="N557" s="11"/>
      <c r="O557" s="11"/>
    </row>
    <row r="558">
      <c r="K558" s="12"/>
      <c r="L558" s="12"/>
      <c r="M558" s="13"/>
      <c r="N558" s="11"/>
      <c r="O558" s="11"/>
    </row>
    <row r="559">
      <c r="K559" s="12"/>
      <c r="L559" s="12"/>
      <c r="M559" s="13"/>
      <c r="N559" s="11"/>
      <c r="O559" s="11"/>
    </row>
    <row r="560">
      <c r="K560" s="12"/>
      <c r="L560" s="12"/>
      <c r="M560" s="13"/>
      <c r="N560" s="11"/>
      <c r="O560" s="11"/>
    </row>
    <row r="561">
      <c r="K561" s="12"/>
      <c r="L561" s="12"/>
      <c r="M561" s="13"/>
      <c r="N561" s="11"/>
      <c r="O561" s="11"/>
    </row>
    <row r="562">
      <c r="K562" s="12"/>
      <c r="L562" s="12"/>
      <c r="M562" s="13"/>
      <c r="N562" s="11"/>
      <c r="O562" s="11"/>
    </row>
    <row r="563">
      <c r="K563" s="12"/>
      <c r="L563" s="12"/>
      <c r="M563" s="13"/>
      <c r="N563" s="11"/>
      <c r="O563" s="11"/>
    </row>
    <row r="564">
      <c r="K564" s="12"/>
      <c r="L564" s="12"/>
      <c r="M564" s="13"/>
      <c r="N564" s="11"/>
      <c r="O564" s="11"/>
    </row>
    <row r="565">
      <c r="K565" s="12"/>
      <c r="L565" s="12"/>
      <c r="M565" s="13"/>
      <c r="N565" s="11"/>
      <c r="O565" s="11"/>
    </row>
    <row r="566">
      <c r="K566" s="12"/>
      <c r="L566" s="12"/>
      <c r="M566" s="13"/>
      <c r="N566" s="11"/>
      <c r="O566" s="11"/>
    </row>
    <row r="567">
      <c r="K567" s="12"/>
      <c r="L567" s="12"/>
      <c r="M567" s="13"/>
      <c r="N567" s="11"/>
      <c r="O567" s="11"/>
    </row>
    <row r="568">
      <c r="K568" s="12"/>
      <c r="L568" s="12"/>
      <c r="M568" s="13"/>
      <c r="N568" s="11"/>
      <c r="O568" s="11"/>
    </row>
    <row r="569">
      <c r="K569" s="12"/>
      <c r="L569" s="12"/>
      <c r="M569" s="13"/>
      <c r="N569" s="11"/>
      <c r="O569" s="11"/>
    </row>
    <row r="570">
      <c r="K570" s="12"/>
      <c r="L570" s="12"/>
      <c r="M570" s="13"/>
      <c r="N570" s="11"/>
      <c r="O570" s="11"/>
    </row>
    <row r="571">
      <c r="K571" s="12"/>
      <c r="L571" s="12"/>
      <c r="M571" s="13"/>
      <c r="N571" s="11"/>
      <c r="O571" s="11"/>
    </row>
    <row r="572">
      <c r="K572" s="12"/>
      <c r="L572" s="12"/>
      <c r="M572" s="13"/>
      <c r="N572" s="11"/>
      <c r="O572" s="11"/>
    </row>
    <row r="573">
      <c r="K573" s="12"/>
      <c r="L573" s="12"/>
      <c r="M573" s="13"/>
      <c r="N573" s="11"/>
      <c r="O573" s="11"/>
    </row>
    <row r="574">
      <c r="K574" s="12"/>
      <c r="L574" s="12"/>
      <c r="M574" s="13"/>
      <c r="N574" s="11"/>
      <c r="O574" s="11"/>
    </row>
    <row r="575">
      <c r="K575" s="12"/>
      <c r="L575" s="12"/>
      <c r="M575" s="13"/>
      <c r="N575" s="11"/>
      <c r="O575" s="11"/>
    </row>
    <row r="576">
      <c r="K576" s="12"/>
      <c r="L576" s="12"/>
      <c r="M576" s="13"/>
      <c r="N576" s="11"/>
      <c r="O576" s="11"/>
    </row>
    <row r="577">
      <c r="K577" s="12"/>
      <c r="L577" s="12"/>
      <c r="M577" s="13"/>
      <c r="N577" s="11"/>
      <c r="O577" s="11"/>
    </row>
    <row r="578">
      <c r="K578" s="12"/>
      <c r="L578" s="12"/>
      <c r="M578" s="13"/>
      <c r="N578" s="11"/>
      <c r="O578" s="11"/>
    </row>
    <row r="579">
      <c r="K579" s="12"/>
      <c r="L579" s="12"/>
      <c r="M579" s="13"/>
      <c r="N579" s="11"/>
      <c r="O579" s="11"/>
    </row>
    <row r="580">
      <c r="K580" s="12"/>
      <c r="L580" s="12"/>
      <c r="M580" s="13"/>
      <c r="N580" s="11"/>
      <c r="O580" s="11"/>
    </row>
    <row r="581">
      <c r="K581" s="12"/>
      <c r="L581" s="12"/>
      <c r="M581" s="13"/>
      <c r="N581" s="11"/>
      <c r="O581" s="11"/>
    </row>
    <row r="582">
      <c r="K582" s="12"/>
      <c r="L582" s="12"/>
      <c r="M582" s="13"/>
      <c r="N582" s="11"/>
      <c r="O582" s="11"/>
    </row>
    <row r="583">
      <c r="K583" s="12"/>
      <c r="L583" s="12"/>
      <c r="M583" s="13"/>
      <c r="N583" s="11"/>
      <c r="O583" s="11"/>
    </row>
    <row r="584">
      <c r="K584" s="12"/>
      <c r="L584" s="12"/>
      <c r="M584" s="13"/>
      <c r="N584" s="11"/>
      <c r="O584" s="11"/>
    </row>
    <row r="585">
      <c r="K585" s="12"/>
      <c r="L585" s="12"/>
      <c r="M585" s="13"/>
      <c r="N585" s="11"/>
      <c r="O585" s="11"/>
    </row>
    <row r="586">
      <c r="K586" s="12"/>
      <c r="L586" s="12"/>
      <c r="M586" s="13"/>
      <c r="N586" s="11"/>
      <c r="O586" s="11"/>
    </row>
    <row r="587">
      <c r="K587" s="12"/>
      <c r="L587" s="12"/>
      <c r="M587" s="13"/>
      <c r="N587" s="11"/>
      <c r="O587" s="11"/>
    </row>
    <row r="588">
      <c r="K588" s="12"/>
      <c r="L588" s="12"/>
      <c r="M588" s="13"/>
      <c r="N588" s="11"/>
      <c r="O588" s="11"/>
    </row>
    <row r="589">
      <c r="K589" s="12"/>
      <c r="L589" s="12"/>
      <c r="M589" s="13"/>
      <c r="N589" s="11"/>
      <c r="O589" s="11"/>
    </row>
    <row r="590">
      <c r="K590" s="12"/>
      <c r="L590" s="12"/>
      <c r="M590" s="13"/>
      <c r="N590" s="11"/>
      <c r="O590" s="11"/>
    </row>
    <row r="591">
      <c r="K591" s="12"/>
      <c r="L591" s="12"/>
      <c r="M591" s="13"/>
      <c r="N591" s="11"/>
      <c r="O591" s="11"/>
    </row>
    <row r="592">
      <c r="K592" s="12"/>
      <c r="L592" s="12"/>
      <c r="M592" s="13"/>
      <c r="N592" s="11"/>
      <c r="O592" s="11"/>
    </row>
    <row r="593">
      <c r="K593" s="12"/>
      <c r="L593" s="12"/>
      <c r="M593" s="13"/>
      <c r="N593" s="11"/>
      <c r="O593" s="11"/>
    </row>
    <row r="594">
      <c r="K594" s="12"/>
      <c r="L594" s="12"/>
      <c r="M594" s="13"/>
      <c r="N594" s="11"/>
      <c r="O594" s="11"/>
    </row>
    <row r="595">
      <c r="K595" s="12"/>
      <c r="L595" s="12"/>
      <c r="M595" s="13"/>
      <c r="N595" s="11"/>
      <c r="O595" s="11"/>
    </row>
    <row r="596">
      <c r="K596" s="12"/>
      <c r="L596" s="12"/>
      <c r="M596" s="13"/>
      <c r="N596" s="11"/>
      <c r="O596" s="11"/>
    </row>
    <row r="597">
      <c r="K597" s="12"/>
      <c r="L597" s="12"/>
      <c r="M597" s="13"/>
      <c r="N597" s="11"/>
      <c r="O597" s="11"/>
    </row>
    <row r="598">
      <c r="K598" s="12"/>
      <c r="L598" s="12"/>
      <c r="M598" s="13"/>
      <c r="N598" s="11"/>
      <c r="O598" s="11"/>
    </row>
    <row r="599">
      <c r="K599" s="12"/>
      <c r="L599" s="12"/>
      <c r="M599" s="13"/>
      <c r="N599" s="11"/>
      <c r="O599" s="11"/>
    </row>
    <row r="600">
      <c r="K600" s="12"/>
      <c r="L600" s="12"/>
      <c r="M600" s="13"/>
      <c r="N600" s="11"/>
      <c r="O600" s="11"/>
    </row>
    <row r="601">
      <c r="K601" s="12"/>
      <c r="L601" s="12"/>
      <c r="M601" s="13"/>
      <c r="N601" s="11"/>
      <c r="O601" s="11"/>
    </row>
    <row r="602">
      <c r="K602" s="12"/>
      <c r="L602" s="12"/>
      <c r="M602" s="13"/>
      <c r="N602" s="11"/>
      <c r="O602" s="11"/>
    </row>
    <row r="603">
      <c r="K603" s="12"/>
      <c r="L603" s="12"/>
      <c r="M603" s="13"/>
      <c r="N603" s="11"/>
      <c r="O603" s="11"/>
    </row>
    <row r="604">
      <c r="K604" s="12"/>
      <c r="L604" s="12"/>
      <c r="M604" s="13"/>
      <c r="N604" s="11"/>
      <c r="O604" s="11"/>
    </row>
    <row r="605">
      <c r="K605" s="12"/>
      <c r="L605" s="12"/>
      <c r="M605" s="13"/>
      <c r="N605" s="11"/>
      <c r="O605" s="11"/>
    </row>
    <row r="606">
      <c r="K606" s="12"/>
      <c r="L606" s="12"/>
      <c r="M606" s="13"/>
      <c r="N606" s="11"/>
      <c r="O606" s="11"/>
    </row>
    <row r="607">
      <c r="K607" s="12"/>
      <c r="L607" s="12"/>
      <c r="M607" s="13"/>
      <c r="N607" s="11"/>
      <c r="O607" s="11"/>
    </row>
    <row r="608">
      <c r="K608" s="12"/>
      <c r="L608" s="12"/>
      <c r="M608" s="13"/>
      <c r="N608" s="11"/>
      <c r="O608" s="11"/>
    </row>
    <row r="609">
      <c r="K609" s="12"/>
      <c r="L609" s="12"/>
      <c r="M609" s="13"/>
      <c r="N609" s="11"/>
      <c r="O609" s="11"/>
    </row>
    <row r="610">
      <c r="K610" s="12"/>
      <c r="L610" s="12"/>
      <c r="M610" s="13"/>
      <c r="N610" s="11"/>
      <c r="O610" s="11"/>
    </row>
    <row r="611">
      <c r="K611" s="12"/>
      <c r="L611" s="12"/>
      <c r="M611" s="13"/>
      <c r="N611" s="11"/>
      <c r="O611" s="11"/>
    </row>
    <row r="612">
      <c r="K612" s="12"/>
      <c r="L612" s="12"/>
      <c r="M612" s="13"/>
      <c r="N612" s="11"/>
      <c r="O612" s="11"/>
    </row>
    <row r="613">
      <c r="K613" s="12"/>
      <c r="L613" s="12"/>
      <c r="M613" s="13"/>
      <c r="N613" s="11"/>
      <c r="O613" s="11"/>
    </row>
    <row r="614">
      <c r="K614" s="12"/>
      <c r="L614" s="12"/>
      <c r="M614" s="13"/>
      <c r="N614" s="11"/>
      <c r="O614" s="11"/>
    </row>
    <row r="615">
      <c r="K615" s="12"/>
      <c r="L615" s="12"/>
      <c r="M615" s="13"/>
      <c r="N615" s="11"/>
      <c r="O615" s="11"/>
    </row>
    <row r="616">
      <c r="K616" s="12"/>
      <c r="L616" s="12"/>
      <c r="M616" s="13"/>
      <c r="N616" s="11"/>
      <c r="O616" s="11"/>
    </row>
    <row r="617">
      <c r="K617" s="12"/>
      <c r="L617" s="12"/>
      <c r="M617" s="13"/>
      <c r="N617" s="11"/>
      <c r="O617" s="11"/>
    </row>
    <row r="618">
      <c r="K618" s="12"/>
      <c r="L618" s="12"/>
      <c r="M618" s="13"/>
      <c r="N618" s="11"/>
      <c r="O618" s="11"/>
    </row>
    <row r="619">
      <c r="K619" s="12"/>
      <c r="L619" s="12"/>
      <c r="M619" s="13"/>
      <c r="N619" s="11"/>
      <c r="O619" s="11"/>
    </row>
    <row r="620">
      <c r="K620" s="12"/>
      <c r="L620" s="12"/>
      <c r="M620" s="13"/>
      <c r="N620" s="11"/>
      <c r="O620" s="11"/>
    </row>
    <row r="621">
      <c r="K621" s="12"/>
      <c r="L621" s="12"/>
      <c r="M621" s="13"/>
      <c r="N621" s="11"/>
      <c r="O621" s="11"/>
    </row>
    <row r="622">
      <c r="K622" s="12"/>
      <c r="L622" s="12"/>
      <c r="M622" s="13"/>
      <c r="N622" s="11"/>
      <c r="O622" s="11"/>
    </row>
    <row r="623">
      <c r="K623" s="12"/>
      <c r="L623" s="12"/>
      <c r="M623" s="13"/>
      <c r="N623" s="11"/>
      <c r="O623" s="11"/>
    </row>
    <row r="624">
      <c r="K624" s="12"/>
      <c r="L624" s="12"/>
      <c r="M624" s="13"/>
      <c r="N624" s="11"/>
      <c r="O624" s="11"/>
    </row>
    <row r="625">
      <c r="K625" s="12"/>
      <c r="L625" s="12"/>
      <c r="M625" s="13"/>
      <c r="N625" s="11"/>
      <c r="O625" s="11"/>
    </row>
    <row r="626">
      <c r="K626" s="12"/>
      <c r="L626" s="12"/>
      <c r="M626" s="13"/>
      <c r="N626" s="11"/>
      <c r="O626" s="11"/>
    </row>
    <row r="627">
      <c r="K627" s="12"/>
      <c r="L627" s="12"/>
      <c r="M627" s="13"/>
      <c r="N627" s="11"/>
      <c r="O627" s="11"/>
    </row>
    <row r="628">
      <c r="K628" s="12"/>
      <c r="L628" s="12"/>
      <c r="M628" s="13"/>
      <c r="N628" s="11"/>
      <c r="O628" s="11"/>
    </row>
    <row r="629">
      <c r="K629" s="12"/>
      <c r="L629" s="12"/>
      <c r="M629" s="13"/>
      <c r="N629" s="11"/>
      <c r="O629" s="11"/>
    </row>
    <row r="630">
      <c r="K630" s="12"/>
      <c r="L630" s="12"/>
      <c r="M630" s="13"/>
      <c r="N630" s="11"/>
      <c r="O630" s="11"/>
    </row>
    <row r="631">
      <c r="K631" s="12"/>
      <c r="L631" s="12"/>
      <c r="M631" s="13"/>
      <c r="N631" s="11"/>
      <c r="O631" s="11"/>
    </row>
    <row r="632">
      <c r="K632" s="12"/>
      <c r="L632" s="12"/>
      <c r="M632" s="13"/>
      <c r="N632" s="11"/>
      <c r="O632" s="11"/>
    </row>
    <row r="633">
      <c r="K633" s="12"/>
      <c r="L633" s="12"/>
      <c r="M633" s="13"/>
      <c r="N633" s="11"/>
      <c r="O633" s="11"/>
    </row>
    <row r="634">
      <c r="K634" s="12"/>
      <c r="L634" s="12"/>
      <c r="M634" s="13"/>
      <c r="N634" s="11"/>
      <c r="O634" s="11"/>
    </row>
    <row r="635">
      <c r="K635" s="12"/>
      <c r="L635" s="12"/>
      <c r="M635" s="13"/>
      <c r="N635" s="11"/>
      <c r="O635" s="11"/>
    </row>
    <row r="636">
      <c r="K636" s="12"/>
      <c r="L636" s="12"/>
      <c r="M636" s="13"/>
      <c r="N636" s="11"/>
      <c r="O636" s="11"/>
    </row>
    <row r="637">
      <c r="K637" s="12"/>
      <c r="L637" s="12"/>
      <c r="M637" s="13"/>
      <c r="N637" s="11"/>
      <c r="O637" s="11"/>
    </row>
    <row r="638">
      <c r="K638" s="12"/>
      <c r="L638" s="12"/>
      <c r="M638" s="13"/>
      <c r="N638" s="11"/>
      <c r="O638" s="11"/>
    </row>
    <row r="639">
      <c r="K639" s="12"/>
      <c r="L639" s="12"/>
      <c r="M639" s="13"/>
      <c r="N639" s="11"/>
      <c r="O639" s="11"/>
    </row>
    <row r="640">
      <c r="K640" s="12"/>
      <c r="L640" s="12"/>
      <c r="M640" s="13"/>
      <c r="N640" s="11"/>
      <c r="O640" s="11"/>
    </row>
    <row r="641">
      <c r="K641" s="12"/>
      <c r="L641" s="12"/>
      <c r="M641" s="13"/>
      <c r="N641" s="11"/>
      <c r="O641" s="11"/>
    </row>
    <row r="642">
      <c r="K642" s="12"/>
      <c r="L642" s="12"/>
      <c r="M642" s="13"/>
      <c r="N642" s="11"/>
      <c r="O642" s="11"/>
    </row>
    <row r="643">
      <c r="K643" s="12"/>
      <c r="L643" s="12"/>
      <c r="M643" s="13"/>
      <c r="N643" s="11"/>
      <c r="O643" s="11"/>
    </row>
    <row r="644">
      <c r="K644" s="12"/>
      <c r="L644" s="12"/>
      <c r="M644" s="13"/>
      <c r="N644" s="11"/>
      <c r="O644" s="11"/>
    </row>
    <row r="645">
      <c r="K645" s="12"/>
      <c r="L645" s="12"/>
      <c r="M645" s="13"/>
      <c r="N645" s="11"/>
      <c r="O645" s="11"/>
    </row>
    <row r="646">
      <c r="K646" s="12"/>
      <c r="L646" s="12"/>
      <c r="M646" s="13"/>
      <c r="N646" s="11"/>
      <c r="O646" s="11"/>
    </row>
    <row r="647">
      <c r="K647" s="12"/>
      <c r="L647" s="12"/>
      <c r="M647" s="13"/>
      <c r="N647" s="11"/>
      <c r="O647" s="11"/>
    </row>
    <row r="648">
      <c r="K648" s="12"/>
      <c r="L648" s="12"/>
      <c r="M648" s="13"/>
      <c r="N648" s="11"/>
      <c r="O648" s="11"/>
    </row>
    <row r="649">
      <c r="K649" s="12"/>
      <c r="L649" s="12"/>
      <c r="M649" s="13"/>
      <c r="N649" s="11"/>
      <c r="O649" s="11"/>
    </row>
    <row r="650">
      <c r="K650" s="12"/>
      <c r="L650" s="12"/>
      <c r="M650" s="13"/>
      <c r="N650" s="11"/>
      <c r="O650" s="11"/>
    </row>
    <row r="651">
      <c r="K651" s="12"/>
      <c r="L651" s="12"/>
      <c r="M651" s="13"/>
      <c r="N651" s="11"/>
      <c r="O651" s="11"/>
    </row>
    <row r="652">
      <c r="K652" s="12"/>
      <c r="L652" s="12"/>
      <c r="M652" s="13"/>
      <c r="N652" s="11"/>
      <c r="O652" s="11"/>
    </row>
    <row r="653">
      <c r="K653" s="12"/>
      <c r="L653" s="12"/>
      <c r="M653" s="13"/>
      <c r="N653" s="11"/>
      <c r="O653" s="11"/>
    </row>
    <row r="654">
      <c r="K654" s="12"/>
      <c r="L654" s="12"/>
      <c r="M654" s="13"/>
      <c r="N654" s="11"/>
      <c r="O654" s="11"/>
    </row>
    <row r="655">
      <c r="K655" s="12"/>
      <c r="L655" s="12"/>
      <c r="M655" s="13"/>
      <c r="N655" s="11"/>
      <c r="O655" s="11"/>
    </row>
    <row r="656">
      <c r="K656" s="12"/>
      <c r="L656" s="12"/>
      <c r="M656" s="13"/>
      <c r="N656" s="11"/>
      <c r="O656" s="11"/>
    </row>
    <row r="657">
      <c r="K657" s="12"/>
      <c r="L657" s="12"/>
      <c r="M657" s="13"/>
      <c r="N657" s="11"/>
      <c r="O657" s="11"/>
    </row>
    <row r="658">
      <c r="K658" s="12"/>
      <c r="L658" s="12"/>
      <c r="M658" s="13"/>
      <c r="N658" s="11"/>
      <c r="O658" s="11"/>
    </row>
    <row r="659">
      <c r="K659" s="12"/>
      <c r="L659" s="12"/>
      <c r="M659" s="13"/>
      <c r="N659" s="11"/>
      <c r="O659" s="11"/>
    </row>
    <row r="660">
      <c r="K660" s="12"/>
      <c r="L660" s="12"/>
      <c r="M660" s="13"/>
      <c r="N660" s="11"/>
      <c r="O660" s="11"/>
    </row>
    <row r="661">
      <c r="K661" s="12"/>
      <c r="L661" s="12"/>
      <c r="M661" s="13"/>
      <c r="N661" s="11"/>
      <c r="O661" s="11"/>
    </row>
    <row r="662">
      <c r="K662" s="12"/>
      <c r="L662" s="12"/>
      <c r="M662" s="13"/>
      <c r="N662" s="11"/>
      <c r="O662" s="11"/>
    </row>
    <row r="663">
      <c r="K663" s="12"/>
      <c r="L663" s="12"/>
      <c r="M663" s="13"/>
      <c r="N663" s="11"/>
      <c r="O663" s="11"/>
    </row>
    <row r="664">
      <c r="K664" s="12"/>
      <c r="L664" s="12"/>
      <c r="M664" s="13"/>
      <c r="N664" s="11"/>
      <c r="O664" s="11"/>
    </row>
    <row r="665">
      <c r="K665" s="12"/>
      <c r="L665" s="12"/>
      <c r="M665" s="13"/>
      <c r="N665" s="11"/>
      <c r="O665" s="11"/>
    </row>
    <row r="666">
      <c r="K666" s="12"/>
      <c r="L666" s="12"/>
      <c r="M666" s="13"/>
      <c r="N666" s="11"/>
      <c r="O666" s="11"/>
    </row>
    <row r="667">
      <c r="K667" s="12"/>
      <c r="L667" s="12"/>
      <c r="M667" s="13"/>
      <c r="N667" s="11"/>
      <c r="O667" s="11"/>
    </row>
    <row r="668">
      <c r="K668" s="12"/>
      <c r="L668" s="12"/>
      <c r="M668" s="13"/>
      <c r="N668" s="11"/>
      <c r="O668" s="11"/>
    </row>
    <row r="669">
      <c r="K669" s="12"/>
      <c r="L669" s="12"/>
      <c r="M669" s="13"/>
      <c r="N669" s="11"/>
      <c r="O669" s="11"/>
    </row>
    <row r="670">
      <c r="K670" s="12"/>
      <c r="L670" s="12"/>
      <c r="M670" s="13"/>
      <c r="N670" s="11"/>
      <c r="O670" s="11"/>
    </row>
    <row r="671">
      <c r="K671" s="12"/>
      <c r="L671" s="12"/>
      <c r="M671" s="13"/>
      <c r="N671" s="11"/>
      <c r="O671" s="11"/>
    </row>
    <row r="672">
      <c r="K672" s="12"/>
      <c r="L672" s="12"/>
      <c r="M672" s="13"/>
      <c r="N672" s="11"/>
      <c r="O672" s="11"/>
    </row>
    <row r="673">
      <c r="K673" s="12"/>
      <c r="L673" s="12"/>
      <c r="M673" s="13"/>
      <c r="N673" s="11"/>
      <c r="O673" s="11"/>
    </row>
    <row r="674">
      <c r="K674" s="12"/>
      <c r="L674" s="12"/>
      <c r="M674" s="13"/>
      <c r="N674" s="11"/>
      <c r="O674" s="11"/>
    </row>
    <row r="675">
      <c r="K675" s="12"/>
      <c r="L675" s="12"/>
      <c r="M675" s="13"/>
      <c r="N675" s="11"/>
      <c r="O675" s="11"/>
    </row>
    <row r="676">
      <c r="K676" s="12"/>
      <c r="L676" s="12"/>
      <c r="M676" s="13"/>
      <c r="N676" s="11"/>
      <c r="O676" s="11"/>
    </row>
    <row r="677">
      <c r="K677" s="12"/>
      <c r="L677" s="12"/>
      <c r="M677" s="13"/>
      <c r="N677" s="11"/>
      <c r="O677" s="11"/>
    </row>
    <row r="678">
      <c r="K678" s="12"/>
      <c r="L678" s="12"/>
      <c r="M678" s="13"/>
      <c r="N678" s="11"/>
      <c r="O678" s="11"/>
    </row>
    <row r="679">
      <c r="K679" s="12"/>
      <c r="L679" s="12"/>
      <c r="M679" s="13"/>
      <c r="N679" s="11"/>
      <c r="O679" s="11"/>
    </row>
    <row r="680">
      <c r="K680" s="12"/>
      <c r="L680" s="12"/>
      <c r="M680" s="13"/>
      <c r="N680" s="11"/>
      <c r="O680" s="11"/>
    </row>
    <row r="681">
      <c r="K681" s="12"/>
      <c r="L681" s="12"/>
      <c r="M681" s="13"/>
      <c r="N681" s="11"/>
      <c r="O681" s="11"/>
    </row>
    <row r="682">
      <c r="K682" s="12"/>
      <c r="L682" s="12"/>
      <c r="M682" s="13"/>
      <c r="N682" s="11"/>
      <c r="O682" s="11"/>
    </row>
    <row r="683">
      <c r="K683" s="12"/>
      <c r="L683" s="12"/>
      <c r="M683" s="13"/>
      <c r="N683" s="11"/>
      <c r="O683" s="11"/>
    </row>
    <row r="684">
      <c r="K684" s="12"/>
      <c r="L684" s="12"/>
      <c r="M684" s="13"/>
      <c r="N684" s="11"/>
      <c r="O684" s="11"/>
    </row>
    <row r="685">
      <c r="K685" s="12"/>
      <c r="L685" s="12"/>
      <c r="M685" s="13"/>
      <c r="N685" s="11"/>
      <c r="O685" s="11"/>
    </row>
    <row r="686">
      <c r="K686" s="12"/>
      <c r="L686" s="12"/>
      <c r="M686" s="13"/>
      <c r="N686" s="11"/>
      <c r="O686" s="11"/>
    </row>
    <row r="687">
      <c r="K687" s="12"/>
      <c r="L687" s="12"/>
      <c r="M687" s="13"/>
      <c r="N687" s="11"/>
      <c r="O687" s="11"/>
    </row>
    <row r="688">
      <c r="K688" s="12"/>
      <c r="L688" s="12"/>
      <c r="M688" s="13"/>
      <c r="N688" s="11"/>
      <c r="O688" s="11"/>
    </row>
    <row r="689">
      <c r="K689" s="12"/>
      <c r="L689" s="12"/>
      <c r="M689" s="13"/>
      <c r="N689" s="11"/>
      <c r="O689" s="11"/>
    </row>
    <row r="690">
      <c r="K690" s="12"/>
      <c r="L690" s="12"/>
      <c r="M690" s="13"/>
      <c r="N690" s="11"/>
      <c r="O690" s="11"/>
    </row>
    <row r="691">
      <c r="K691" s="12"/>
      <c r="L691" s="12"/>
      <c r="M691" s="13"/>
      <c r="N691" s="11"/>
      <c r="O691" s="11"/>
    </row>
    <row r="692">
      <c r="K692" s="12"/>
      <c r="L692" s="12"/>
      <c r="M692" s="13"/>
      <c r="N692" s="11"/>
      <c r="O692" s="11"/>
    </row>
    <row r="693">
      <c r="K693" s="12"/>
      <c r="L693" s="12"/>
      <c r="M693" s="13"/>
      <c r="N693" s="11"/>
      <c r="O693" s="11"/>
    </row>
    <row r="694">
      <c r="K694" s="12"/>
      <c r="L694" s="12"/>
      <c r="M694" s="13"/>
      <c r="N694" s="11"/>
      <c r="O694" s="11"/>
    </row>
    <row r="695">
      <c r="K695" s="12"/>
      <c r="L695" s="12"/>
      <c r="M695" s="13"/>
      <c r="N695" s="11"/>
      <c r="O695" s="11"/>
    </row>
    <row r="696">
      <c r="K696" s="12"/>
      <c r="L696" s="12"/>
      <c r="M696" s="13"/>
      <c r="N696" s="11"/>
      <c r="O696" s="11"/>
    </row>
    <row r="697">
      <c r="K697" s="12"/>
      <c r="L697" s="12"/>
      <c r="M697" s="13"/>
      <c r="N697" s="11"/>
      <c r="O697" s="11"/>
    </row>
    <row r="698">
      <c r="K698" s="12"/>
      <c r="L698" s="12"/>
      <c r="M698" s="13"/>
      <c r="N698" s="11"/>
      <c r="O698" s="11"/>
    </row>
    <row r="699">
      <c r="K699" s="12"/>
      <c r="L699" s="12"/>
      <c r="M699" s="13"/>
      <c r="N699" s="11"/>
      <c r="O699" s="11"/>
    </row>
    <row r="700">
      <c r="K700" s="12"/>
      <c r="L700" s="12"/>
      <c r="M700" s="13"/>
      <c r="N700" s="11"/>
      <c r="O700" s="11"/>
    </row>
    <row r="701">
      <c r="K701" s="12"/>
      <c r="L701" s="12"/>
      <c r="M701" s="13"/>
      <c r="N701" s="11"/>
      <c r="O701" s="11"/>
    </row>
    <row r="702">
      <c r="K702" s="12"/>
      <c r="L702" s="12"/>
      <c r="M702" s="13"/>
      <c r="N702" s="11"/>
      <c r="O702" s="11"/>
    </row>
    <row r="703">
      <c r="K703" s="12"/>
      <c r="L703" s="12"/>
      <c r="M703" s="13"/>
      <c r="N703" s="11"/>
      <c r="O703" s="11"/>
    </row>
    <row r="704">
      <c r="K704" s="12"/>
      <c r="L704" s="12"/>
      <c r="M704" s="13"/>
      <c r="N704" s="11"/>
      <c r="O704" s="11"/>
    </row>
    <row r="705">
      <c r="K705" s="12"/>
      <c r="L705" s="12"/>
      <c r="M705" s="13"/>
      <c r="N705" s="11"/>
      <c r="O705" s="11"/>
    </row>
    <row r="706">
      <c r="K706" s="12"/>
      <c r="L706" s="12"/>
      <c r="M706" s="13"/>
      <c r="N706" s="11"/>
      <c r="O706" s="11"/>
    </row>
    <row r="707">
      <c r="K707" s="12"/>
      <c r="L707" s="12"/>
      <c r="M707" s="13"/>
      <c r="N707" s="11"/>
      <c r="O707" s="11"/>
    </row>
    <row r="708">
      <c r="K708" s="12"/>
      <c r="L708" s="12"/>
      <c r="M708" s="13"/>
      <c r="N708" s="11"/>
      <c r="O708" s="11"/>
    </row>
    <row r="709">
      <c r="K709" s="12"/>
      <c r="L709" s="12"/>
      <c r="M709" s="13"/>
      <c r="N709" s="11"/>
      <c r="O709" s="11"/>
    </row>
    <row r="710">
      <c r="K710" s="12"/>
      <c r="L710" s="12"/>
      <c r="M710" s="13"/>
      <c r="N710" s="11"/>
      <c r="O710" s="11"/>
    </row>
    <row r="711">
      <c r="K711" s="12"/>
      <c r="L711" s="12"/>
      <c r="M711" s="13"/>
      <c r="N711" s="11"/>
      <c r="O711" s="11"/>
    </row>
    <row r="712">
      <c r="K712" s="12"/>
      <c r="L712" s="12"/>
      <c r="M712" s="13"/>
      <c r="N712" s="11"/>
      <c r="O712" s="11"/>
    </row>
    <row r="713">
      <c r="K713" s="12"/>
      <c r="L713" s="12"/>
      <c r="M713" s="13"/>
      <c r="N713" s="11"/>
      <c r="O713" s="11"/>
    </row>
    <row r="714">
      <c r="K714" s="12"/>
      <c r="L714" s="12"/>
      <c r="M714" s="13"/>
      <c r="N714" s="11"/>
      <c r="O714" s="11"/>
    </row>
    <row r="715">
      <c r="K715" s="12"/>
      <c r="L715" s="12"/>
      <c r="M715" s="13"/>
      <c r="N715" s="11"/>
      <c r="O715" s="11"/>
    </row>
    <row r="716">
      <c r="K716" s="12"/>
      <c r="L716" s="12"/>
      <c r="M716" s="13"/>
      <c r="N716" s="11"/>
      <c r="O716" s="11"/>
    </row>
    <row r="717">
      <c r="K717" s="12"/>
      <c r="L717" s="12"/>
      <c r="M717" s="13"/>
      <c r="N717" s="11"/>
      <c r="O717" s="11"/>
    </row>
    <row r="718">
      <c r="K718" s="12"/>
      <c r="L718" s="12"/>
      <c r="M718" s="13"/>
      <c r="N718" s="11"/>
      <c r="O718" s="11"/>
    </row>
    <row r="719">
      <c r="K719" s="12"/>
      <c r="L719" s="12"/>
      <c r="M719" s="13"/>
      <c r="N719" s="11"/>
      <c r="O719" s="11"/>
    </row>
    <row r="720">
      <c r="K720" s="12"/>
      <c r="L720" s="12"/>
      <c r="M720" s="13"/>
      <c r="N720" s="11"/>
      <c r="O720" s="11"/>
    </row>
    <row r="721">
      <c r="K721" s="12"/>
      <c r="L721" s="12"/>
      <c r="M721" s="13"/>
      <c r="N721" s="11"/>
      <c r="O721" s="11"/>
    </row>
    <row r="722">
      <c r="K722" s="12"/>
      <c r="L722" s="12"/>
      <c r="M722" s="13"/>
      <c r="N722" s="11"/>
      <c r="O722" s="11"/>
    </row>
    <row r="723">
      <c r="K723" s="12"/>
      <c r="L723" s="12"/>
      <c r="M723" s="13"/>
      <c r="N723" s="11"/>
      <c r="O723" s="11"/>
    </row>
    <row r="724">
      <c r="K724" s="12"/>
      <c r="L724" s="12"/>
      <c r="M724" s="13"/>
      <c r="N724" s="11"/>
      <c r="O724" s="11"/>
    </row>
    <row r="725">
      <c r="K725" s="12"/>
      <c r="L725" s="12"/>
      <c r="M725" s="13"/>
      <c r="N725" s="11"/>
      <c r="O725" s="11"/>
    </row>
    <row r="726">
      <c r="K726" s="12"/>
      <c r="L726" s="12"/>
      <c r="M726" s="13"/>
      <c r="N726" s="11"/>
      <c r="O726" s="11"/>
    </row>
    <row r="727">
      <c r="K727" s="12"/>
      <c r="L727" s="12"/>
      <c r="M727" s="13"/>
      <c r="N727" s="11"/>
      <c r="O727" s="11"/>
    </row>
    <row r="728">
      <c r="K728" s="12"/>
      <c r="L728" s="12"/>
      <c r="M728" s="13"/>
      <c r="N728" s="11"/>
      <c r="O728" s="11"/>
    </row>
    <row r="729">
      <c r="K729" s="12"/>
      <c r="L729" s="12"/>
      <c r="M729" s="13"/>
      <c r="N729" s="11"/>
      <c r="O729" s="11"/>
    </row>
    <row r="730">
      <c r="K730" s="12"/>
      <c r="L730" s="12"/>
      <c r="M730" s="13"/>
      <c r="N730" s="11"/>
      <c r="O730" s="11"/>
    </row>
    <row r="731">
      <c r="K731" s="12"/>
      <c r="L731" s="12"/>
      <c r="M731" s="13"/>
      <c r="N731" s="11"/>
      <c r="O731" s="11"/>
    </row>
    <row r="732">
      <c r="K732" s="12"/>
      <c r="L732" s="12"/>
      <c r="M732" s="13"/>
      <c r="N732" s="11"/>
      <c r="O732" s="11"/>
    </row>
    <row r="733">
      <c r="K733" s="12"/>
      <c r="L733" s="12"/>
      <c r="M733" s="13"/>
      <c r="N733" s="11"/>
      <c r="O733" s="11"/>
    </row>
    <row r="734">
      <c r="K734" s="12"/>
      <c r="L734" s="12"/>
      <c r="M734" s="13"/>
      <c r="N734" s="11"/>
      <c r="O734" s="11"/>
    </row>
    <row r="735">
      <c r="K735" s="12"/>
      <c r="L735" s="12"/>
      <c r="M735" s="13"/>
      <c r="N735" s="11"/>
      <c r="O735" s="11"/>
    </row>
    <row r="736">
      <c r="K736" s="12"/>
      <c r="L736" s="12"/>
      <c r="M736" s="13"/>
      <c r="N736" s="11"/>
      <c r="O736" s="11"/>
    </row>
    <row r="737">
      <c r="K737" s="12"/>
      <c r="L737" s="12"/>
      <c r="M737" s="13"/>
      <c r="N737" s="11"/>
      <c r="O737" s="11"/>
    </row>
    <row r="738">
      <c r="K738" s="12"/>
      <c r="L738" s="12"/>
      <c r="M738" s="13"/>
      <c r="N738" s="11"/>
      <c r="O738" s="11"/>
    </row>
    <row r="739">
      <c r="K739" s="12"/>
      <c r="L739" s="12"/>
      <c r="M739" s="13"/>
      <c r="N739" s="11"/>
      <c r="O739" s="11"/>
    </row>
    <row r="740">
      <c r="K740" s="12"/>
      <c r="L740" s="12"/>
      <c r="M740" s="13"/>
      <c r="N740" s="11"/>
      <c r="O740" s="11"/>
    </row>
    <row r="741">
      <c r="K741" s="12"/>
      <c r="L741" s="12"/>
      <c r="M741" s="13"/>
      <c r="N741" s="11"/>
      <c r="O741" s="11"/>
    </row>
    <row r="742">
      <c r="K742" s="12"/>
      <c r="L742" s="12"/>
      <c r="M742" s="13"/>
      <c r="N742" s="11"/>
      <c r="O742" s="11"/>
    </row>
    <row r="743">
      <c r="K743" s="12"/>
      <c r="L743" s="12"/>
      <c r="M743" s="13"/>
      <c r="N743" s="11"/>
      <c r="O743" s="11"/>
    </row>
    <row r="744">
      <c r="K744" s="12"/>
      <c r="L744" s="12"/>
      <c r="M744" s="13"/>
      <c r="N744" s="11"/>
      <c r="O744" s="11"/>
    </row>
    <row r="745">
      <c r="K745" s="12"/>
      <c r="L745" s="12"/>
      <c r="M745" s="13"/>
      <c r="N745" s="11"/>
      <c r="O745" s="11"/>
    </row>
    <row r="746">
      <c r="K746" s="12"/>
      <c r="L746" s="12"/>
      <c r="M746" s="13"/>
      <c r="N746" s="11"/>
      <c r="O746" s="11"/>
    </row>
    <row r="747">
      <c r="K747" s="12"/>
      <c r="L747" s="12"/>
      <c r="M747" s="13"/>
      <c r="N747" s="11"/>
      <c r="O747" s="11"/>
    </row>
    <row r="748">
      <c r="K748" s="12"/>
      <c r="L748" s="12"/>
      <c r="M748" s="13"/>
      <c r="N748" s="11"/>
      <c r="O748" s="11"/>
    </row>
    <row r="749">
      <c r="K749" s="12"/>
      <c r="L749" s="12"/>
      <c r="M749" s="13"/>
      <c r="N749" s="11"/>
      <c r="O749" s="11"/>
    </row>
    <row r="750">
      <c r="K750" s="12"/>
      <c r="L750" s="12"/>
      <c r="M750" s="13"/>
      <c r="N750" s="11"/>
      <c r="O750" s="11"/>
    </row>
    <row r="751">
      <c r="K751" s="12"/>
      <c r="L751" s="12"/>
      <c r="M751" s="13"/>
      <c r="N751" s="11"/>
      <c r="O751" s="11"/>
    </row>
    <row r="752">
      <c r="K752" s="12"/>
      <c r="L752" s="12"/>
      <c r="M752" s="13"/>
      <c r="N752" s="11"/>
      <c r="O752" s="11"/>
    </row>
    <row r="753">
      <c r="K753" s="12"/>
      <c r="L753" s="12"/>
      <c r="M753" s="13"/>
      <c r="N753" s="11"/>
      <c r="O753" s="11"/>
    </row>
    <row r="754">
      <c r="K754" s="12"/>
      <c r="L754" s="12"/>
      <c r="M754" s="13"/>
      <c r="N754" s="11"/>
      <c r="O754" s="11"/>
    </row>
    <row r="755">
      <c r="K755" s="12"/>
      <c r="L755" s="12"/>
      <c r="M755" s="13"/>
      <c r="N755" s="11"/>
      <c r="O755" s="11"/>
    </row>
    <row r="756">
      <c r="K756" s="12"/>
      <c r="L756" s="12"/>
      <c r="M756" s="13"/>
      <c r="N756" s="11"/>
      <c r="O756" s="11"/>
    </row>
    <row r="757">
      <c r="K757" s="12"/>
      <c r="L757" s="12"/>
      <c r="M757" s="13"/>
      <c r="N757" s="11"/>
      <c r="O757" s="11"/>
    </row>
    <row r="758">
      <c r="K758" s="12"/>
      <c r="L758" s="12"/>
      <c r="M758" s="13"/>
      <c r="N758" s="11"/>
      <c r="O758" s="11"/>
    </row>
    <row r="759">
      <c r="K759" s="12"/>
      <c r="L759" s="12"/>
      <c r="M759" s="13"/>
      <c r="N759" s="11"/>
      <c r="O759" s="11"/>
    </row>
    <row r="760">
      <c r="K760" s="12"/>
      <c r="L760" s="12"/>
      <c r="M760" s="13"/>
      <c r="N760" s="11"/>
      <c r="O760" s="11"/>
    </row>
    <row r="761">
      <c r="K761" s="12"/>
      <c r="L761" s="12"/>
      <c r="M761" s="13"/>
      <c r="N761" s="11"/>
      <c r="O761" s="11"/>
    </row>
    <row r="762">
      <c r="K762" s="12"/>
      <c r="L762" s="12"/>
      <c r="M762" s="13"/>
      <c r="N762" s="11"/>
      <c r="O762" s="11"/>
    </row>
    <row r="763">
      <c r="K763" s="12"/>
      <c r="L763" s="12"/>
      <c r="M763" s="13"/>
      <c r="N763" s="11"/>
      <c r="O763" s="11"/>
    </row>
    <row r="764">
      <c r="K764" s="12"/>
      <c r="L764" s="12"/>
      <c r="M764" s="13"/>
      <c r="N764" s="11"/>
      <c r="O764" s="11"/>
    </row>
    <row r="765">
      <c r="K765" s="12"/>
      <c r="L765" s="12"/>
      <c r="M765" s="13"/>
      <c r="N765" s="11"/>
      <c r="O765" s="11"/>
    </row>
    <row r="766">
      <c r="K766" s="12"/>
      <c r="L766" s="12"/>
      <c r="M766" s="13"/>
      <c r="N766" s="11"/>
      <c r="O766" s="11"/>
    </row>
    <row r="767">
      <c r="K767" s="12"/>
      <c r="L767" s="12"/>
      <c r="M767" s="13"/>
      <c r="N767" s="11"/>
      <c r="O767" s="11"/>
    </row>
    <row r="768">
      <c r="K768" s="12"/>
      <c r="L768" s="12"/>
      <c r="M768" s="13"/>
      <c r="N768" s="11"/>
      <c r="O768" s="11"/>
    </row>
    <row r="769">
      <c r="K769" s="12"/>
      <c r="L769" s="12"/>
      <c r="M769" s="13"/>
      <c r="N769" s="11"/>
      <c r="O769" s="11"/>
    </row>
    <row r="770">
      <c r="K770" s="12"/>
      <c r="L770" s="12"/>
      <c r="M770" s="13"/>
      <c r="N770" s="11"/>
      <c r="O770" s="11"/>
    </row>
    <row r="771">
      <c r="K771" s="12"/>
      <c r="L771" s="12"/>
      <c r="M771" s="13"/>
      <c r="N771" s="11"/>
      <c r="O771" s="11"/>
    </row>
    <row r="772">
      <c r="K772" s="12"/>
      <c r="L772" s="12"/>
      <c r="M772" s="13"/>
      <c r="N772" s="11"/>
      <c r="O772" s="11"/>
    </row>
    <row r="773">
      <c r="K773" s="12"/>
      <c r="L773" s="12"/>
      <c r="M773" s="13"/>
      <c r="N773" s="11"/>
      <c r="O773" s="11"/>
    </row>
    <row r="774">
      <c r="K774" s="12"/>
      <c r="L774" s="12"/>
      <c r="M774" s="13"/>
      <c r="N774" s="11"/>
      <c r="O774" s="11"/>
    </row>
    <row r="775">
      <c r="K775" s="12"/>
      <c r="L775" s="12"/>
      <c r="M775" s="13"/>
      <c r="N775" s="11"/>
      <c r="O775" s="11"/>
    </row>
    <row r="776">
      <c r="K776" s="12"/>
      <c r="L776" s="12"/>
      <c r="M776" s="13"/>
      <c r="N776" s="11"/>
      <c r="O776" s="11"/>
    </row>
    <row r="777">
      <c r="K777" s="12"/>
      <c r="L777" s="12"/>
      <c r="M777" s="13"/>
      <c r="N777" s="11"/>
      <c r="O777" s="11"/>
    </row>
    <row r="778">
      <c r="K778" s="12"/>
      <c r="L778" s="12"/>
      <c r="M778" s="13"/>
      <c r="N778" s="11"/>
      <c r="O778" s="11"/>
    </row>
    <row r="779">
      <c r="K779" s="12"/>
      <c r="L779" s="12"/>
      <c r="M779" s="13"/>
      <c r="N779" s="11"/>
      <c r="O779" s="11"/>
    </row>
    <row r="780">
      <c r="K780" s="12"/>
      <c r="L780" s="12"/>
      <c r="M780" s="13"/>
      <c r="N780" s="11"/>
      <c r="O780" s="11"/>
    </row>
    <row r="781">
      <c r="K781" s="12"/>
      <c r="L781" s="12"/>
      <c r="M781" s="13"/>
      <c r="N781" s="11"/>
      <c r="O781" s="11"/>
    </row>
    <row r="782">
      <c r="K782" s="12"/>
      <c r="L782" s="12"/>
      <c r="M782" s="13"/>
      <c r="N782" s="11"/>
      <c r="O782" s="11"/>
    </row>
    <row r="783">
      <c r="K783" s="12"/>
      <c r="L783" s="12"/>
      <c r="M783" s="13"/>
      <c r="N783" s="11"/>
      <c r="O783" s="11"/>
    </row>
    <row r="784">
      <c r="K784" s="12"/>
      <c r="L784" s="12"/>
      <c r="M784" s="13"/>
      <c r="N784" s="11"/>
      <c r="O784" s="11"/>
    </row>
    <row r="785">
      <c r="K785" s="12"/>
      <c r="L785" s="12"/>
      <c r="M785" s="13"/>
      <c r="N785" s="11"/>
      <c r="O785" s="11"/>
    </row>
    <row r="786">
      <c r="K786" s="12"/>
      <c r="L786" s="12"/>
      <c r="M786" s="13"/>
      <c r="N786" s="11"/>
      <c r="O786" s="11"/>
    </row>
    <row r="787">
      <c r="K787" s="12"/>
      <c r="L787" s="12"/>
      <c r="M787" s="13"/>
      <c r="N787" s="11"/>
      <c r="O787" s="11"/>
    </row>
    <row r="788">
      <c r="K788" s="12"/>
      <c r="L788" s="12"/>
      <c r="M788" s="13"/>
      <c r="N788" s="11"/>
      <c r="O788" s="11"/>
    </row>
    <row r="789">
      <c r="K789" s="12"/>
      <c r="L789" s="12"/>
      <c r="M789" s="13"/>
      <c r="N789" s="11"/>
      <c r="O789" s="11"/>
    </row>
    <row r="790">
      <c r="K790" s="12"/>
      <c r="L790" s="12"/>
      <c r="M790" s="13"/>
      <c r="N790" s="11"/>
      <c r="O790" s="11"/>
    </row>
    <row r="791">
      <c r="K791" s="12"/>
      <c r="L791" s="12"/>
      <c r="M791" s="13"/>
      <c r="N791" s="11"/>
      <c r="O791" s="11"/>
    </row>
    <row r="792">
      <c r="K792" s="12"/>
      <c r="L792" s="12"/>
      <c r="M792" s="13"/>
      <c r="N792" s="11"/>
      <c r="O792" s="11"/>
    </row>
    <row r="793">
      <c r="K793" s="12"/>
      <c r="L793" s="12"/>
      <c r="M793" s="13"/>
      <c r="N793" s="11"/>
      <c r="O793" s="11"/>
    </row>
    <row r="794">
      <c r="K794" s="12"/>
      <c r="L794" s="12"/>
      <c r="M794" s="13"/>
      <c r="N794" s="11"/>
      <c r="O794" s="11"/>
    </row>
    <row r="795">
      <c r="K795" s="12"/>
      <c r="L795" s="12"/>
      <c r="M795" s="13"/>
      <c r="N795" s="11"/>
      <c r="O795" s="11"/>
    </row>
    <row r="796">
      <c r="K796" s="12"/>
      <c r="L796" s="12"/>
      <c r="M796" s="13"/>
      <c r="N796" s="11"/>
      <c r="O796" s="11"/>
    </row>
    <row r="797">
      <c r="K797" s="12"/>
      <c r="L797" s="12"/>
      <c r="M797" s="13"/>
      <c r="N797" s="11"/>
      <c r="O797" s="11"/>
    </row>
    <row r="798">
      <c r="K798" s="12"/>
      <c r="L798" s="12"/>
      <c r="M798" s="13"/>
      <c r="N798" s="11"/>
      <c r="O798" s="11"/>
    </row>
    <row r="799">
      <c r="K799" s="12"/>
      <c r="L799" s="12"/>
      <c r="M799" s="13"/>
      <c r="N799" s="11"/>
      <c r="O799" s="11"/>
    </row>
    <row r="800">
      <c r="K800" s="12"/>
      <c r="L800" s="12"/>
      <c r="M800" s="13"/>
      <c r="N800" s="11"/>
      <c r="O800" s="11"/>
    </row>
    <row r="801">
      <c r="K801" s="12"/>
      <c r="L801" s="12"/>
      <c r="M801" s="13"/>
      <c r="N801" s="11"/>
      <c r="O801" s="11"/>
    </row>
    <row r="802">
      <c r="K802" s="12"/>
      <c r="L802" s="12"/>
      <c r="M802" s="13"/>
      <c r="N802" s="11"/>
      <c r="O802" s="11"/>
    </row>
    <row r="803">
      <c r="K803" s="12"/>
      <c r="L803" s="12"/>
      <c r="M803" s="13"/>
      <c r="N803" s="11"/>
      <c r="O803" s="11"/>
    </row>
    <row r="804">
      <c r="K804" s="12"/>
      <c r="L804" s="12"/>
      <c r="M804" s="13"/>
      <c r="N804" s="11"/>
      <c r="O804" s="11"/>
    </row>
    <row r="805">
      <c r="K805" s="12"/>
      <c r="L805" s="12"/>
      <c r="M805" s="13"/>
      <c r="N805" s="11"/>
      <c r="O805" s="11"/>
    </row>
    <row r="806">
      <c r="K806" s="12"/>
      <c r="L806" s="12"/>
      <c r="M806" s="13"/>
      <c r="N806" s="11"/>
      <c r="O806" s="11"/>
    </row>
    <row r="807">
      <c r="K807" s="12"/>
      <c r="L807" s="12"/>
      <c r="M807" s="13"/>
      <c r="N807" s="11"/>
      <c r="O807" s="11"/>
    </row>
    <row r="808">
      <c r="K808" s="12"/>
      <c r="L808" s="12"/>
      <c r="M808" s="13"/>
      <c r="N808" s="11"/>
      <c r="O808" s="11"/>
    </row>
    <row r="809">
      <c r="K809" s="12"/>
      <c r="L809" s="12"/>
      <c r="M809" s="13"/>
      <c r="N809" s="11"/>
      <c r="O809" s="11"/>
    </row>
    <row r="810">
      <c r="K810" s="12"/>
      <c r="L810" s="12"/>
      <c r="M810" s="13"/>
      <c r="N810" s="11"/>
      <c r="O810" s="11"/>
    </row>
    <row r="811">
      <c r="K811" s="12"/>
      <c r="L811" s="12"/>
      <c r="M811" s="13"/>
      <c r="N811" s="11"/>
      <c r="O811" s="11"/>
    </row>
    <row r="812">
      <c r="K812" s="12"/>
      <c r="L812" s="12"/>
      <c r="M812" s="13"/>
      <c r="N812" s="11"/>
      <c r="O812" s="11"/>
    </row>
    <row r="813">
      <c r="K813" s="12"/>
      <c r="L813" s="12"/>
      <c r="M813" s="13"/>
      <c r="N813" s="11"/>
      <c r="O813" s="11"/>
    </row>
    <row r="814">
      <c r="K814" s="12"/>
      <c r="L814" s="12"/>
      <c r="M814" s="13"/>
      <c r="N814" s="11"/>
      <c r="O814" s="11"/>
    </row>
    <row r="815">
      <c r="K815" s="12"/>
      <c r="L815" s="12"/>
      <c r="M815" s="13"/>
      <c r="N815" s="11"/>
      <c r="O815" s="11"/>
    </row>
    <row r="816">
      <c r="K816" s="12"/>
      <c r="L816" s="12"/>
      <c r="M816" s="13"/>
      <c r="N816" s="11"/>
      <c r="O816" s="11"/>
    </row>
    <row r="817">
      <c r="K817" s="12"/>
      <c r="L817" s="12"/>
      <c r="M817" s="13"/>
      <c r="N817" s="11"/>
      <c r="O817" s="11"/>
    </row>
    <row r="818">
      <c r="K818" s="12"/>
      <c r="L818" s="12"/>
      <c r="M818" s="13"/>
      <c r="N818" s="11"/>
      <c r="O818" s="11"/>
    </row>
    <row r="819">
      <c r="K819" s="12"/>
      <c r="L819" s="12"/>
      <c r="M819" s="13"/>
      <c r="N819" s="11"/>
      <c r="O819" s="11"/>
    </row>
    <row r="820">
      <c r="K820" s="12"/>
      <c r="L820" s="12"/>
      <c r="M820" s="13"/>
      <c r="N820" s="11"/>
      <c r="O820" s="11"/>
    </row>
    <row r="821">
      <c r="K821" s="12"/>
      <c r="L821" s="12"/>
      <c r="M821" s="13"/>
      <c r="N821" s="11"/>
      <c r="O821" s="11"/>
    </row>
    <row r="822">
      <c r="K822" s="12"/>
      <c r="L822" s="12"/>
      <c r="M822" s="13"/>
      <c r="N822" s="11"/>
      <c r="O822" s="11"/>
    </row>
    <row r="823">
      <c r="K823" s="12"/>
      <c r="L823" s="12"/>
      <c r="M823" s="13"/>
      <c r="N823" s="11"/>
      <c r="O823" s="11"/>
    </row>
    <row r="824">
      <c r="K824" s="12"/>
      <c r="L824" s="12"/>
      <c r="M824" s="13"/>
      <c r="N824" s="11"/>
      <c r="O824" s="11"/>
    </row>
    <row r="825">
      <c r="K825" s="12"/>
      <c r="L825" s="12"/>
      <c r="M825" s="13"/>
      <c r="N825" s="11"/>
      <c r="O825" s="11"/>
    </row>
    <row r="826">
      <c r="K826" s="12"/>
      <c r="L826" s="12"/>
      <c r="M826" s="13"/>
      <c r="N826" s="11"/>
      <c r="O826" s="11"/>
    </row>
    <row r="827">
      <c r="K827" s="12"/>
      <c r="L827" s="12"/>
      <c r="M827" s="13"/>
      <c r="N827" s="11"/>
      <c r="O827" s="11"/>
    </row>
    <row r="828">
      <c r="K828" s="12"/>
      <c r="L828" s="12"/>
      <c r="M828" s="13"/>
      <c r="N828" s="11"/>
      <c r="O828" s="11"/>
    </row>
    <row r="829">
      <c r="K829" s="12"/>
      <c r="L829" s="12"/>
      <c r="M829" s="13"/>
      <c r="N829" s="11"/>
      <c r="O829" s="11"/>
    </row>
    <row r="830">
      <c r="K830" s="12"/>
      <c r="L830" s="12"/>
      <c r="M830" s="13"/>
      <c r="N830" s="11"/>
      <c r="O830" s="11"/>
    </row>
    <row r="831">
      <c r="K831" s="12"/>
      <c r="L831" s="12"/>
      <c r="M831" s="13"/>
      <c r="N831" s="11"/>
      <c r="O831" s="11"/>
    </row>
    <row r="832">
      <c r="K832" s="12"/>
      <c r="L832" s="12"/>
      <c r="M832" s="13"/>
      <c r="N832" s="11"/>
      <c r="O832" s="11"/>
    </row>
    <row r="833">
      <c r="K833" s="12"/>
      <c r="L833" s="12"/>
      <c r="M833" s="13"/>
      <c r="N833" s="11"/>
      <c r="O833" s="11"/>
    </row>
    <row r="834">
      <c r="K834" s="12"/>
      <c r="L834" s="12"/>
      <c r="M834" s="13"/>
      <c r="N834" s="11"/>
      <c r="O834" s="11"/>
    </row>
    <row r="835">
      <c r="K835" s="12"/>
      <c r="L835" s="12"/>
      <c r="M835" s="13"/>
      <c r="N835" s="11"/>
      <c r="O835" s="11"/>
    </row>
    <row r="836">
      <c r="K836" s="12"/>
      <c r="L836" s="12"/>
      <c r="M836" s="13"/>
      <c r="N836" s="11"/>
      <c r="O836" s="11"/>
    </row>
    <row r="837">
      <c r="K837" s="12"/>
      <c r="L837" s="12"/>
      <c r="M837" s="13"/>
      <c r="N837" s="11"/>
      <c r="O837" s="11"/>
    </row>
    <row r="838">
      <c r="K838" s="12"/>
      <c r="L838" s="12"/>
      <c r="M838" s="13"/>
      <c r="N838" s="11"/>
      <c r="O838" s="11"/>
    </row>
    <row r="839">
      <c r="K839" s="12"/>
      <c r="L839" s="12"/>
      <c r="M839" s="13"/>
      <c r="N839" s="11"/>
      <c r="O839" s="11"/>
    </row>
    <row r="840">
      <c r="K840" s="12"/>
      <c r="L840" s="12"/>
      <c r="M840" s="13"/>
      <c r="N840" s="11"/>
      <c r="O840" s="11"/>
    </row>
    <row r="841">
      <c r="K841" s="12"/>
      <c r="L841" s="12"/>
      <c r="M841" s="13"/>
      <c r="N841" s="11"/>
      <c r="O841" s="11"/>
    </row>
    <row r="842">
      <c r="K842" s="12"/>
      <c r="L842" s="12"/>
      <c r="M842" s="13"/>
      <c r="N842" s="11"/>
      <c r="O842" s="11"/>
    </row>
    <row r="843">
      <c r="K843" s="12"/>
      <c r="L843" s="12"/>
      <c r="M843" s="13"/>
      <c r="N843" s="11"/>
      <c r="O843" s="11"/>
    </row>
    <row r="844">
      <c r="K844" s="12"/>
      <c r="L844" s="12"/>
      <c r="M844" s="13"/>
      <c r="N844" s="11"/>
      <c r="O844" s="11"/>
    </row>
    <row r="845">
      <c r="K845" s="12"/>
      <c r="L845" s="12"/>
      <c r="M845" s="13"/>
      <c r="N845" s="11"/>
      <c r="O845" s="11"/>
    </row>
    <row r="846">
      <c r="K846" s="12"/>
      <c r="L846" s="12"/>
      <c r="M846" s="13"/>
      <c r="N846" s="11"/>
      <c r="O846" s="11"/>
    </row>
    <row r="847">
      <c r="K847" s="12"/>
      <c r="L847" s="12"/>
      <c r="M847" s="13"/>
      <c r="N847" s="11"/>
      <c r="O847" s="11"/>
    </row>
    <row r="848">
      <c r="K848" s="12"/>
      <c r="L848" s="12"/>
      <c r="M848" s="13"/>
      <c r="N848" s="11"/>
      <c r="O848" s="11"/>
    </row>
    <row r="849">
      <c r="K849" s="12"/>
      <c r="L849" s="12"/>
      <c r="M849" s="13"/>
      <c r="N849" s="11"/>
      <c r="O849" s="11"/>
    </row>
    <row r="850">
      <c r="K850" s="12"/>
      <c r="L850" s="12"/>
      <c r="M850" s="13"/>
      <c r="N850" s="11"/>
      <c r="O850" s="11"/>
    </row>
    <row r="851">
      <c r="K851" s="12"/>
      <c r="L851" s="12"/>
      <c r="M851" s="13"/>
      <c r="N851" s="11"/>
      <c r="O851" s="11"/>
    </row>
    <row r="852">
      <c r="K852" s="12"/>
      <c r="L852" s="12"/>
      <c r="M852" s="13"/>
      <c r="N852" s="11"/>
      <c r="O852" s="11"/>
    </row>
    <row r="853">
      <c r="K853" s="12"/>
      <c r="L853" s="12"/>
      <c r="M853" s="13"/>
      <c r="N853" s="11"/>
      <c r="O853" s="11"/>
    </row>
    <row r="854">
      <c r="K854" s="12"/>
      <c r="L854" s="12"/>
      <c r="M854" s="13"/>
      <c r="N854" s="11"/>
      <c r="O854" s="11"/>
    </row>
    <row r="855">
      <c r="K855" s="12"/>
      <c r="L855" s="12"/>
      <c r="M855" s="13"/>
      <c r="N855" s="11"/>
      <c r="O855" s="11"/>
    </row>
    <row r="856">
      <c r="K856" s="12"/>
      <c r="L856" s="12"/>
      <c r="M856" s="13"/>
      <c r="N856" s="11"/>
      <c r="O856" s="11"/>
    </row>
    <row r="857">
      <c r="K857" s="12"/>
      <c r="L857" s="12"/>
      <c r="M857" s="13"/>
      <c r="N857" s="11"/>
      <c r="O857" s="11"/>
    </row>
    <row r="858">
      <c r="K858" s="12"/>
      <c r="L858" s="12"/>
      <c r="M858" s="13"/>
      <c r="N858" s="11"/>
      <c r="O858" s="11"/>
    </row>
    <row r="859">
      <c r="K859" s="12"/>
      <c r="L859" s="12"/>
      <c r="M859" s="13"/>
      <c r="N859" s="11"/>
      <c r="O859" s="11"/>
    </row>
    <row r="860">
      <c r="K860" s="12"/>
      <c r="L860" s="12"/>
      <c r="M860" s="13"/>
      <c r="N860" s="11"/>
      <c r="O860" s="11"/>
    </row>
    <row r="861">
      <c r="K861" s="12"/>
      <c r="L861" s="12"/>
      <c r="M861" s="13"/>
      <c r="N861" s="11"/>
      <c r="O861" s="11"/>
    </row>
    <row r="862">
      <c r="K862" s="12"/>
      <c r="L862" s="12"/>
      <c r="M862" s="13"/>
      <c r="N862" s="11"/>
      <c r="O862" s="11"/>
    </row>
    <row r="863">
      <c r="K863" s="12"/>
      <c r="L863" s="12"/>
      <c r="M863" s="13"/>
      <c r="N863" s="11"/>
      <c r="O863" s="11"/>
    </row>
    <row r="864">
      <c r="K864" s="12"/>
      <c r="L864" s="12"/>
      <c r="M864" s="13"/>
      <c r="N864" s="11"/>
      <c r="O864" s="11"/>
    </row>
    <row r="865">
      <c r="K865" s="12"/>
      <c r="L865" s="12"/>
      <c r="M865" s="13"/>
      <c r="N865" s="11"/>
      <c r="O865" s="11"/>
    </row>
    <row r="866">
      <c r="K866" s="12"/>
      <c r="L866" s="12"/>
      <c r="M866" s="13"/>
      <c r="N866" s="11"/>
      <c r="O866" s="11"/>
    </row>
    <row r="867">
      <c r="K867" s="12"/>
      <c r="L867" s="12"/>
      <c r="M867" s="13"/>
      <c r="N867" s="11"/>
      <c r="O867" s="11"/>
    </row>
    <row r="868">
      <c r="K868" s="12"/>
      <c r="L868" s="12"/>
      <c r="M868" s="13"/>
      <c r="N868" s="11"/>
      <c r="O868" s="11"/>
    </row>
    <row r="869">
      <c r="K869" s="12"/>
      <c r="L869" s="12"/>
      <c r="M869" s="13"/>
      <c r="N869" s="11"/>
      <c r="O869" s="11"/>
    </row>
    <row r="870">
      <c r="K870" s="12"/>
      <c r="L870" s="12"/>
      <c r="M870" s="13"/>
      <c r="N870" s="11"/>
      <c r="O870" s="11"/>
    </row>
    <row r="871">
      <c r="K871" s="12"/>
      <c r="L871" s="12"/>
      <c r="M871" s="13"/>
      <c r="N871" s="11"/>
      <c r="O871" s="11"/>
    </row>
    <row r="872">
      <c r="K872" s="12"/>
      <c r="L872" s="12"/>
      <c r="M872" s="13"/>
      <c r="N872" s="11"/>
      <c r="O872" s="11"/>
    </row>
    <row r="873">
      <c r="K873" s="12"/>
      <c r="L873" s="12"/>
      <c r="M873" s="13"/>
      <c r="N873" s="11"/>
      <c r="O873" s="11"/>
    </row>
    <row r="874">
      <c r="K874" s="12"/>
      <c r="L874" s="12"/>
      <c r="M874" s="13"/>
      <c r="N874" s="11"/>
      <c r="O874" s="11"/>
    </row>
    <row r="875">
      <c r="K875" s="12"/>
      <c r="L875" s="12"/>
      <c r="M875" s="13"/>
      <c r="N875" s="11"/>
      <c r="O875" s="11"/>
    </row>
    <row r="876">
      <c r="K876" s="12"/>
      <c r="L876" s="12"/>
      <c r="M876" s="13"/>
      <c r="N876" s="11"/>
      <c r="O876" s="11"/>
    </row>
    <row r="877">
      <c r="K877" s="12"/>
      <c r="L877" s="12"/>
      <c r="M877" s="13"/>
      <c r="N877" s="11"/>
      <c r="O877" s="11"/>
    </row>
    <row r="878">
      <c r="K878" s="12"/>
      <c r="L878" s="12"/>
      <c r="M878" s="13"/>
      <c r="N878" s="11"/>
      <c r="O878" s="11"/>
    </row>
    <row r="879">
      <c r="K879" s="12"/>
      <c r="L879" s="12"/>
      <c r="M879" s="13"/>
      <c r="N879" s="11"/>
      <c r="O879" s="11"/>
    </row>
    <row r="880">
      <c r="K880" s="12"/>
      <c r="L880" s="12"/>
      <c r="M880" s="13"/>
      <c r="N880" s="11"/>
      <c r="O880" s="11"/>
    </row>
    <row r="881">
      <c r="K881" s="12"/>
      <c r="L881" s="12"/>
      <c r="M881" s="13"/>
      <c r="N881" s="11"/>
      <c r="O881" s="11"/>
    </row>
    <row r="882">
      <c r="K882" s="12"/>
      <c r="L882" s="12"/>
      <c r="M882" s="13"/>
      <c r="N882" s="11"/>
      <c r="O882" s="11"/>
    </row>
    <row r="883">
      <c r="K883" s="12"/>
      <c r="L883" s="12"/>
      <c r="M883" s="13"/>
      <c r="N883" s="11"/>
      <c r="O883" s="11"/>
    </row>
    <row r="884">
      <c r="K884" s="12"/>
      <c r="L884" s="12"/>
      <c r="M884" s="13"/>
      <c r="N884" s="11"/>
      <c r="O884" s="11"/>
    </row>
    <row r="885">
      <c r="K885" s="12"/>
      <c r="L885" s="12"/>
      <c r="M885" s="13"/>
      <c r="N885" s="11"/>
      <c r="O885" s="11"/>
    </row>
    <row r="886">
      <c r="K886" s="12"/>
      <c r="L886" s="12"/>
      <c r="M886" s="13"/>
      <c r="N886" s="11"/>
      <c r="O886" s="11"/>
    </row>
    <row r="887">
      <c r="K887" s="12"/>
      <c r="L887" s="12"/>
      <c r="M887" s="13"/>
      <c r="N887" s="11"/>
      <c r="O887" s="11"/>
    </row>
    <row r="888">
      <c r="K888" s="12"/>
      <c r="L888" s="12"/>
      <c r="M888" s="13"/>
      <c r="N888" s="11"/>
      <c r="O888" s="11"/>
    </row>
    <row r="889">
      <c r="K889" s="12"/>
      <c r="L889" s="12"/>
      <c r="M889" s="13"/>
      <c r="N889" s="11"/>
      <c r="O889" s="11"/>
    </row>
    <row r="890">
      <c r="K890" s="12"/>
      <c r="L890" s="12"/>
      <c r="M890" s="13"/>
      <c r="N890" s="11"/>
      <c r="O890" s="11"/>
    </row>
    <row r="891">
      <c r="K891" s="12"/>
      <c r="L891" s="12"/>
      <c r="M891" s="13"/>
      <c r="N891" s="11"/>
      <c r="O891" s="11"/>
    </row>
    <row r="892">
      <c r="K892" s="12"/>
      <c r="L892" s="12"/>
      <c r="M892" s="13"/>
      <c r="N892" s="11"/>
      <c r="O892" s="11"/>
    </row>
    <row r="893">
      <c r="K893" s="12"/>
      <c r="L893" s="12"/>
      <c r="M893" s="13"/>
      <c r="N893" s="11"/>
      <c r="O893" s="11"/>
    </row>
    <row r="894">
      <c r="K894" s="12"/>
      <c r="L894" s="12"/>
      <c r="M894" s="13"/>
      <c r="N894" s="11"/>
      <c r="O894" s="11"/>
    </row>
    <row r="895">
      <c r="K895" s="12"/>
      <c r="L895" s="12"/>
      <c r="M895" s="13"/>
      <c r="N895" s="11"/>
      <c r="O895" s="11"/>
    </row>
    <row r="896">
      <c r="K896" s="12"/>
      <c r="L896" s="12"/>
      <c r="M896" s="13"/>
      <c r="N896" s="11"/>
      <c r="O896" s="11"/>
    </row>
    <row r="897">
      <c r="K897" s="12"/>
      <c r="L897" s="12"/>
      <c r="M897" s="13"/>
      <c r="N897" s="11"/>
      <c r="O897" s="11"/>
    </row>
    <row r="898">
      <c r="K898" s="12"/>
      <c r="L898" s="12"/>
      <c r="M898" s="13"/>
      <c r="N898" s="11"/>
      <c r="O898" s="11"/>
    </row>
    <row r="899">
      <c r="K899" s="12"/>
      <c r="L899" s="12"/>
      <c r="M899" s="13"/>
      <c r="N899" s="11"/>
      <c r="O899" s="11"/>
    </row>
    <row r="900">
      <c r="K900" s="12"/>
      <c r="L900" s="12"/>
      <c r="M900" s="13"/>
      <c r="N900" s="11"/>
      <c r="O900" s="11"/>
    </row>
    <row r="901">
      <c r="K901" s="12"/>
      <c r="L901" s="12"/>
      <c r="M901" s="13"/>
      <c r="N901" s="11"/>
      <c r="O901" s="11"/>
    </row>
    <row r="902">
      <c r="K902" s="12"/>
      <c r="L902" s="12"/>
      <c r="M902" s="13"/>
      <c r="N902" s="11"/>
      <c r="O902" s="11"/>
    </row>
    <row r="903">
      <c r="K903" s="12"/>
      <c r="L903" s="12"/>
      <c r="M903" s="13"/>
      <c r="N903" s="11"/>
      <c r="O903" s="11"/>
    </row>
    <row r="904">
      <c r="K904" s="12"/>
      <c r="L904" s="12"/>
      <c r="M904" s="13"/>
      <c r="N904" s="11"/>
      <c r="O904" s="11"/>
    </row>
    <row r="905">
      <c r="K905" s="12"/>
      <c r="L905" s="12"/>
      <c r="M905" s="13"/>
      <c r="N905" s="11"/>
      <c r="O905" s="11"/>
    </row>
    <row r="906">
      <c r="K906" s="12"/>
      <c r="L906" s="12"/>
      <c r="M906" s="13"/>
      <c r="N906" s="11"/>
      <c r="O906" s="11"/>
    </row>
    <row r="907">
      <c r="K907" s="12"/>
      <c r="L907" s="12"/>
      <c r="M907" s="13"/>
      <c r="N907" s="11"/>
      <c r="O907" s="11"/>
    </row>
    <row r="908">
      <c r="K908" s="12"/>
      <c r="L908" s="12"/>
      <c r="M908" s="13"/>
      <c r="N908" s="11"/>
      <c r="O908" s="11"/>
    </row>
    <row r="909">
      <c r="K909" s="12"/>
      <c r="L909" s="12"/>
      <c r="M909" s="13"/>
      <c r="N909" s="11"/>
      <c r="O909" s="11"/>
    </row>
    <row r="910">
      <c r="K910" s="12"/>
      <c r="L910" s="12"/>
      <c r="M910" s="13"/>
      <c r="N910" s="11"/>
      <c r="O910" s="11"/>
    </row>
    <row r="911">
      <c r="K911" s="12"/>
      <c r="L911" s="12"/>
      <c r="M911" s="13"/>
      <c r="N911" s="11"/>
      <c r="O911" s="11"/>
    </row>
    <row r="912">
      <c r="K912" s="12"/>
      <c r="L912" s="12"/>
      <c r="M912" s="13"/>
      <c r="N912" s="11"/>
      <c r="O912" s="11"/>
    </row>
    <row r="913">
      <c r="K913" s="12"/>
      <c r="L913" s="12"/>
      <c r="M913" s="13"/>
      <c r="N913" s="11"/>
      <c r="O913" s="11"/>
    </row>
    <row r="914">
      <c r="K914" s="12"/>
      <c r="L914" s="12"/>
      <c r="M914" s="13"/>
      <c r="N914" s="11"/>
      <c r="O914" s="11"/>
    </row>
    <row r="915">
      <c r="K915" s="12"/>
      <c r="L915" s="12"/>
      <c r="M915" s="13"/>
      <c r="N915" s="11"/>
      <c r="O915" s="11"/>
    </row>
    <row r="916">
      <c r="K916" s="12"/>
      <c r="L916" s="12"/>
      <c r="M916" s="13"/>
      <c r="N916" s="11"/>
      <c r="O916" s="11"/>
    </row>
    <row r="917">
      <c r="K917" s="12"/>
      <c r="L917" s="12"/>
      <c r="M917" s="13"/>
      <c r="N917" s="11"/>
      <c r="O917" s="11"/>
    </row>
    <row r="918">
      <c r="K918" s="12"/>
      <c r="L918" s="12"/>
      <c r="M918" s="13"/>
      <c r="N918" s="11"/>
      <c r="O918" s="11"/>
    </row>
    <row r="919">
      <c r="K919" s="12"/>
      <c r="L919" s="12"/>
      <c r="M919" s="13"/>
      <c r="N919" s="11"/>
      <c r="O919" s="11"/>
    </row>
    <row r="920">
      <c r="K920" s="12"/>
      <c r="L920" s="12"/>
      <c r="M920" s="13"/>
      <c r="N920" s="11"/>
      <c r="O920" s="11"/>
    </row>
    <row r="921">
      <c r="K921" s="12"/>
      <c r="L921" s="12"/>
      <c r="M921" s="13"/>
      <c r="N921" s="11"/>
      <c r="O921" s="11"/>
    </row>
    <row r="922">
      <c r="K922" s="12"/>
      <c r="L922" s="12"/>
      <c r="M922" s="13"/>
      <c r="N922" s="11"/>
      <c r="O922" s="11"/>
    </row>
    <row r="923">
      <c r="K923" s="12"/>
      <c r="L923" s="12"/>
      <c r="M923" s="13"/>
      <c r="N923" s="11"/>
      <c r="O923" s="11"/>
    </row>
    <row r="924">
      <c r="K924" s="12"/>
      <c r="L924" s="12"/>
      <c r="M924" s="13"/>
      <c r="N924" s="11"/>
      <c r="O924" s="11"/>
    </row>
    <row r="925">
      <c r="K925" s="12"/>
      <c r="L925" s="12"/>
      <c r="M925" s="13"/>
      <c r="N925" s="11"/>
      <c r="O925" s="11"/>
    </row>
    <row r="926">
      <c r="K926" s="12"/>
      <c r="L926" s="12"/>
      <c r="M926" s="13"/>
      <c r="N926" s="11"/>
      <c r="O926" s="11"/>
    </row>
    <row r="927">
      <c r="K927" s="12"/>
      <c r="L927" s="12"/>
      <c r="M927" s="13"/>
      <c r="N927" s="11"/>
      <c r="O927" s="11"/>
    </row>
    <row r="928">
      <c r="K928" s="12"/>
      <c r="L928" s="12"/>
      <c r="M928" s="13"/>
      <c r="N928" s="11"/>
      <c r="O928" s="11"/>
    </row>
    <row r="929">
      <c r="K929" s="12"/>
      <c r="L929" s="12"/>
      <c r="M929" s="13"/>
      <c r="N929" s="11"/>
      <c r="O929" s="11"/>
    </row>
    <row r="930">
      <c r="K930" s="12"/>
      <c r="L930" s="12"/>
      <c r="M930" s="13"/>
      <c r="N930" s="11"/>
      <c r="O930" s="11"/>
    </row>
    <row r="931">
      <c r="K931" s="12"/>
      <c r="L931" s="12"/>
      <c r="M931" s="13"/>
      <c r="N931" s="11"/>
      <c r="O931" s="11"/>
    </row>
    <row r="932">
      <c r="K932" s="12"/>
      <c r="L932" s="12"/>
      <c r="M932" s="13"/>
      <c r="N932" s="11"/>
      <c r="O932" s="11"/>
    </row>
    <row r="933">
      <c r="K933" s="12"/>
      <c r="L933" s="12"/>
      <c r="M933" s="13"/>
      <c r="N933" s="11"/>
      <c r="O933" s="11"/>
    </row>
    <row r="934">
      <c r="K934" s="12"/>
      <c r="L934" s="12"/>
      <c r="M934" s="13"/>
      <c r="N934" s="11"/>
      <c r="O934" s="11"/>
    </row>
    <row r="935">
      <c r="K935" s="12"/>
      <c r="L935" s="12"/>
      <c r="M935" s="13"/>
      <c r="N935" s="11"/>
      <c r="O935" s="11"/>
    </row>
    <row r="936">
      <c r="K936" s="12"/>
      <c r="L936" s="12"/>
      <c r="M936" s="13"/>
      <c r="N936" s="11"/>
      <c r="O936" s="11"/>
    </row>
    <row r="937">
      <c r="K937" s="12"/>
      <c r="L937" s="12"/>
      <c r="M937" s="13"/>
      <c r="N937" s="11"/>
      <c r="O937" s="11"/>
    </row>
    <row r="938">
      <c r="K938" s="12"/>
      <c r="L938" s="12"/>
      <c r="M938" s="13"/>
      <c r="N938" s="11"/>
      <c r="O938" s="11"/>
    </row>
    <row r="939">
      <c r="K939" s="12"/>
      <c r="L939" s="12"/>
      <c r="M939" s="13"/>
      <c r="N939" s="11"/>
      <c r="O939" s="11"/>
    </row>
    <row r="940">
      <c r="K940" s="12"/>
      <c r="L940" s="12"/>
      <c r="M940" s="13"/>
      <c r="N940" s="11"/>
      <c r="O940" s="11"/>
    </row>
    <row r="941">
      <c r="K941" s="12"/>
      <c r="L941" s="12"/>
      <c r="M941" s="13"/>
      <c r="N941" s="11"/>
      <c r="O941" s="11"/>
    </row>
    <row r="942">
      <c r="K942" s="12"/>
      <c r="L942" s="12"/>
      <c r="M942" s="13"/>
      <c r="N942" s="11"/>
      <c r="O942" s="11"/>
    </row>
    <row r="943">
      <c r="K943" s="12"/>
      <c r="L943" s="12"/>
      <c r="M943" s="13"/>
      <c r="N943" s="11"/>
      <c r="O943" s="11"/>
    </row>
    <row r="944">
      <c r="K944" s="12"/>
      <c r="L944" s="12"/>
      <c r="M944" s="13"/>
      <c r="N944" s="11"/>
      <c r="O944" s="11"/>
    </row>
    <row r="945">
      <c r="K945" s="12"/>
      <c r="L945" s="12"/>
      <c r="M945" s="13"/>
      <c r="N945" s="11"/>
      <c r="O945" s="11"/>
    </row>
    <row r="946">
      <c r="K946" s="12"/>
      <c r="L946" s="12"/>
      <c r="M946" s="13"/>
      <c r="N946" s="11"/>
      <c r="O946" s="11"/>
    </row>
    <row r="947">
      <c r="K947" s="12"/>
      <c r="L947" s="12"/>
      <c r="M947" s="13"/>
      <c r="N947" s="11"/>
      <c r="O947" s="11"/>
    </row>
    <row r="948">
      <c r="K948" s="12"/>
      <c r="L948" s="12"/>
      <c r="M948" s="13"/>
      <c r="N948" s="11"/>
      <c r="O948" s="11"/>
    </row>
    <row r="949">
      <c r="K949" s="12"/>
      <c r="L949" s="12"/>
      <c r="M949" s="13"/>
      <c r="N949" s="11"/>
      <c r="O949" s="11"/>
    </row>
    <row r="950">
      <c r="K950" s="12"/>
      <c r="L950" s="12"/>
      <c r="M950" s="13"/>
      <c r="N950" s="11"/>
      <c r="O950" s="11"/>
    </row>
    <row r="951">
      <c r="K951" s="12"/>
      <c r="L951" s="12"/>
      <c r="M951" s="13"/>
      <c r="N951" s="11"/>
      <c r="O951" s="11"/>
    </row>
    <row r="952">
      <c r="K952" s="12"/>
      <c r="L952" s="12"/>
      <c r="M952" s="13"/>
      <c r="N952" s="11"/>
      <c r="O952" s="11"/>
    </row>
    <row r="953">
      <c r="K953" s="12"/>
      <c r="L953" s="12"/>
      <c r="M953" s="13"/>
      <c r="N953" s="11"/>
      <c r="O953" s="11"/>
    </row>
    <row r="954">
      <c r="K954" s="12"/>
      <c r="L954" s="12"/>
      <c r="M954" s="13"/>
      <c r="N954" s="11"/>
      <c r="O954" s="11"/>
    </row>
    <row r="955">
      <c r="K955" s="12"/>
      <c r="L955" s="12"/>
      <c r="M955" s="13"/>
      <c r="N955" s="11"/>
      <c r="O955" s="11"/>
    </row>
    <row r="956">
      <c r="K956" s="12"/>
      <c r="L956" s="12"/>
      <c r="M956" s="13"/>
      <c r="N956" s="11"/>
      <c r="O956" s="11"/>
    </row>
    <row r="957">
      <c r="K957" s="12"/>
      <c r="L957" s="12"/>
      <c r="M957" s="13"/>
      <c r="N957" s="11"/>
      <c r="O957" s="11"/>
    </row>
    <row r="958">
      <c r="K958" s="12"/>
      <c r="L958" s="12"/>
      <c r="M958" s="13"/>
      <c r="N958" s="11"/>
      <c r="O958" s="11"/>
    </row>
    <row r="959">
      <c r="K959" s="12"/>
      <c r="L959" s="12"/>
      <c r="M959" s="13"/>
      <c r="N959" s="11"/>
      <c r="O959" s="11"/>
    </row>
    <row r="960">
      <c r="K960" s="12"/>
      <c r="L960" s="12"/>
      <c r="M960" s="13"/>
      <c r="N960" s="11"/>
      <c r="O960" s="11"/>
    </row>
    <row r="961">
      <c r="K961" s="12"/>
      <c r="L961" s="12"/>
      <c r="M961" s="13"/>
      <c r="N961" s="11"/>
      <c r="O961" s="11"/>
    </row>
    <row r="962">
      <c r="K962" s="12"/>
      <c r="L962" s="12"/>
      <c r="M962" s="13"/>
      <c r="N962" s="11"/>
      <c r="O962" s="11"/>
    </row>
    <row r="963">
      <c r="K963" s="12"/>
      <c r="L963" s="12"/>
      <c r="M963" s="13"/>
      <c r="N963" s="11"/>
      <c r="O963" s="11"/>
    </row>
    <row r="964">
      <c r="K964" s="12"/>
      <c r="L964" s="12"/>
      <c r="M964" s="13"/>
      <c r="N964" s="11"/>
      <c r="O964" s="11"/>
    </row>
    <row r="965">
      <c r="K965" s="12"/>
      <c r="L965" s="12"/>
      <c r="M965" s="13"/>
      <c r="N965" s="11"/>
      <c r="O965" s="11"/>
    </row>
    <row r="966">
      <c r="K966" s="12"/>
      <c r="L966" s="12"/>
      <c r="M966" s="13"/>
      <c r="N966" s="11"/>
      <c r="O966" s="11"/>
    </row>
    <row r="967">
      <c r="K967" s="12"/>
      <c r="L967" s="12"/>
      <c r="M967" s="13"/>
      <c r="N967" s="11"/>
      <c r="O967" s="11"/>
    </row>
    <row r="968">
      <c r="K968" s="12"/>
      <c r="L968" s="12"/>
      <c r="M968" s="13"/>
      <c r="N968" s="11"/>
      <c r="O968" s="11"/>
    </row>
    <row r="969">
      <c r="K969" s="12"/>
      <c r="L969" s="12"/>
      <c r="M969" s="13"/>
      <c r="N969" s="11"/>
      <c r="O969" s="11"/>
    </row>
    <row r="970">
      <c r="K970" s="12"/>
      <c r="L970" s="12"/>
      <c r="M970" s="13"/>
      <c r="N970" s="11"/>
      <c r="O970" s="11"/>
    </row>
    <row r="971">
      <c r="K971" s="12"/>
      <c r="L971" s="12"/>
      <c r="M971" s="13"/>
      <c r="N971" s="11"/>
      <c r="O971" s="11"/>
    </row>
    <row r="972">
      <c r="K972" s="12"/>
      <c r="L972" s="12"/>
      <c r="M972" s="13"/>
      <c r="N972" s="11"/>
      <c r="O972" s="11"/>
    </row>
    <row r="973">
      <c r="K973" s="12"/>
      <c r="L973" s="12"/>
      <c r="M973" s="13"/>
      <c r="N973" s="11"/>
      <c r="O973" s="11"/>
    </row>
    <row r="974">
      <c r="K974" s="12"/>
      <c r="L974" s="12"/>
      <c r="M974" s="13"/>
      <c r="N974" s="11"/>
      <c r="O974" s="11"/>
    </row>
    <row r="975">
      <c r="K975" s="12"/>
      <c r="L975" s="12"/>
      <c r="M975" s="13"/>
      <c r="N975" s="11"/>
      <c r="O975" s="11"/>
    </row>
    <row r="976">
      <c r="K976" s="12"/>
      <c r="L976" s="12"/>
      <c r="M976" s="13"/>
      <c r="N976" s="11"/>
      <c r="O976" s="11"/>
    </row>
    <row r="977">
      <c r="K977" s="12"/>
      <c r="L977" s="12"/>
      <c r="M977" s="13"/>
      <c r="N977" s="11"/>
      <c r="O977" s="11"/>
    </row>
    <row r="978">
      <c r="K978" s="12"/>
      <c r="L978" s="12"/>
      <c r="M978" s="13"/>
      <c r="N978" s="11"/>
      <c r="O978" s="11"/>
    </row>
  </sheetData>
  <autoFilter ref="$A$1:$M$12">
    <sortState ref="A1:M12">
      <sortCondition ref="M1:M1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40.25"/>
    <col customWidth="1" min="13" max="13" width="9.13"/>
  </cols>
  <sheetData>
    <row r="1">
      <c r="A1" s="14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6"/>
      <c r="L1" s="11"/>
      <c r="M1" s="11"/>
    </row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2" t="s">
        <v>10</v>
      </c>
      <c r="L2" s="2" t="s">
        <v>11</v>
      </c>
      <c r="M2" s="3" t="s">
        <v>12</v>
      </c>
    </row>
    <row r="3">
      <c r="A3" s="6">
        <v>101027.0</v>
      </c>
      <c r="B3" s="6">
        <v>10.0</v>
      </c>
      <c r="C3" s="6">
        <v>31.0</v>
      </c>
      <c r="D3" s="6" t="s">
        <v>16</v>
      </c>
      <c r="E3" s="6" t="s">
        <v>17</v>
      </c>
      <c r="F3" s="7"/>
      <c r="G3" s="7"/>
      <c r="H3" s="6">
        <v>2048.0</v>
      </c>
      <c r="I3" s="6">
        <v>200.0</v>
      </c>
      <c r="J3" s="6">
        <v>198.0</v>
      </c>
      <c r="K3" s="8" t="s">
        <v>18</v>
      </c>
      <c r="L3" s="8" t="s">
        <v>19</v>
      </c>
      <c r="M3" s="9"/>
    </row>
    <row r="4">
      <c r="A4" s="6">
        <v>101027.0</v>
      </c>
      <c r="B4" s="6">
        <v>10.0</v>
      </c>
      <c r="C4" s="6">
        <v>31.0</v>
      </c>
      <c r="D4" s="6" t="s">
        <v>16</v>
      </c>
      <c r="E4" s="6" t="s">
        <v>17</v>
      </c>
      <c r="F4" s="7"/>
      <c r="G4" s="7"/>
      <c r="H4" s="6">
        <v>2048.0</v>
      </c>
      <c r="I4" s="6">
        <v>200.0</v>
      </c>
      <c r="J4" s="6">
        <v>121.0</v>
      </c>
      <c r="K4" s="8" t="s">
        <v>20</v>
      </c>
      <c r="L4" s="8" t="s">
        <v>19</v>
      </c>
      <c r="M4" s="9"/>
    </row>
    <row r="5">
      <c r="A5" s="6">
        <v>101027.0</v>
      </c>
      <c r="B5" s="6">
        <v>10.0</v>
      </c>
      <c r="C5" s="6">
        <v>31.0</v>
      </c>
      <c r="D5" s="6" t="s">
        <v>16</v>
      </c>
      <c r="E5" s="6" t="s">
        <v>17</v>
      </c>
      <c r="F5" s="7"/>
      <c r="G5" s="7"/>
      <c r="H5" s="6">
        <v>2048.0</v>
      </c>
      <c r="I5" s="6">
        <v>200.0</v>
      </c>
      <c r="J5" s="6">
        <v>136.0</v>
      </c>
      <c r="K5" s="8" t="s">
        <v>21</v>
      </c>
      <c r="L5" s="8" t="s">
        <v>19</v>
      </c>
      <c r="M5" s="9"/>
    </row>
    <row r="6">
      <c r="A6" s="6">
        <v>101027.0</v>
      </c>
      <c r="B6" s="6">
        <v>10.0</v>
      </c>
      <c r="C6" s="6">
        <v>31.0</v>
      </c>
      <c r="D6" s="6" t="s">
        <v>16</v>
      </c>
      <c r="E6" s="6" t="s">
        <v>17</v>
      </c>
      <c r="F6" s="7"/>
      <c r="G6" s="7"/>
      <c r="H6" s="6">
        <v>2048.0</v>
      </c>
      <c r="I6" s="6">
        <v>200.0</v>
      </c>
      <c r="J6" s="6">
        <v>35.0</v>
      </c>
      <c r="K6" s="8" t="s">
        <v>22</v>
      </c>
      <c r="L6" s="8" t="s">
        <v>19</v>
      </c>
      <c r="M6" s="9"/>
    </row>
    <row r="7">
      <c r="A7" s="6">
        <v>101027.0</v>
      </c>
      <c r="B7" s="6">
        <v>10.0</v>
      </c>
      <c r="C7" s="6">
        <v>31.0</v>
      </c>
      <c r="D7" s="6" t="s">
        <v>16</v>
      </c>
      <c r="E7" s="6" t="s">
        <v>17</v>
      </c>
      <c r="F7" s="7"/>
      <c r="G7" s="7"/>
      <c r="H7" s="6">
        <v>2048.0</v>
      </c>
      <c r="I7" s="6">
        <v>200.0</v>
      </c>
      <c r="J7" s="6">
        <v>240.0</v>
      </c>
      <c r="K7" s="8" t="s">
        <v>23</v>
      </c>
      <c r="L7" s="8" t="s">
        <v>19</v>
      </c>
      <c r="M7" s="9"/>
    </row>
    <row r="8">
      <c r="A8" s="6">
        <v>101027.0</v>
      </c>
      <c r="B8" s="6">
        <v>10.0</v>
      </c>
      <c r="C8" s="6">
        <v>31.0</v>
      </c>
      <c r="D8" s="6" t="s">
        <v>16</v>
      </c>
      <c r="E8" s="6" t="s">
        <v>17</v>
      </c>
      <c r="F8" s="7"/>
      <c r="G8" s="7"/>
      <c r="H8" s="6">
        <v>2048.0</v>
      </c>
      <c r="I8" s="6">
        <v>200.0</v>
      </c>
      <c r="J8" s="6">
        <v>76.0</v>
      </c>
      <c r="K8" s="8" t="s">
        <v>24</v>
      </c>
      <c r="L8" s="8" t="s">
        <v>19</v>
      </c>
      <c r="M8" s="9"/>
    </row>
    <row r="9">
      <c r="A9" s="6">
        <v>101027.0</v>
      </c>
      <c r="B9" s="6">
        <v>10.0</v>
      </c>
      <c r="C9" s="6">
        <v>31.0</v>
      </c>
      <c r="D9" s="6" t="s">
        <v>16</v>
      </c>
      <c r="E9" s="6" t="s">
        <v>17</v>
      </c>
      <c r="F9" s="7"/>
      <c r="G9" s="7"/>
      <c r="H9" s="6">
        <v>2048.0</v>
      </c>
      <c r="I9" s="6">
        <v>200.0</v>
      </c>
      <c r="J9" s="6">
        <v>20.0</v>
      </c>
      <c r="K9" s="8" t="s">
        <v>25</v>
      </c>
      <c r="L9" s="8" t="s">
        <v>19</v>
      </c>
      <c r="M9" s="9"/>
    </row>
    <row r="10">
      <c r="A10" s="6">
        <v>101027.0</v>
      </c>
      <c r="B10" s="6">
        <v>10.0</v>
      </c>
      <c r="C10" s="6">
        <v>31.0</v>
      </c>
      <c r="D10" s="6" t="s">
        <v>16</v>
      </c>
      <c r="E10" s="6" t="s">
        <v>17</v>
      </c>
      <c r="F10" s="7"/>
      <c r="G10" s="7"/>
      <c r="H10" s="6">
        <v>2048.0</v>
      </c>
      <c r="I10" s="6">
        <v>200.0</v>
      </c>
      <c r="J10" s="6">
        <v>175.0</v>
      </c>
      <c r="K10" s="8" t="s">
        <v>26</v>
      </c>
      <c r="L10" s="8" t="s">
        <v>19</v>
      </c>
      <c r="M10" s="9"/>
    </row>
    <row r="11">
      <c r="A11" s="6">
        <v>101027.0</v>
      </c>
      <c r="B11" s="6">
        <v>10.0</v>
      </c>
      <c r="C11" s="6">
        <v>31.0</v>
      </c>
      <c r="D11" s="6" t="s">
        <v>16</v>
      </c>
      <c r="E11" s="6" t="s">
        <v>17</v>
      </c>
      <c r="F11" s="7"/>
      <c r="G11" s="7"/>
      <c r="H11" s="6">
        <v>2048.0</v>
      </c>
      <c r="I11" s="6">
        <v>200.0</v>
      </c>
      <c r="J11" s="6">
        <v>256.0</v>
      </c>
      <c r="K11" s="8" t="s">
        <v>27</v>
      </c>
      <c r="L11" s="8" t="s">
        <v>19</v>
      </c>
      <c r="M11" s="9"/>
    </row>
    <row r="12">
      <c r="A12" s="6">
        <v>101027.0</v>
      </c>
      <c r="B12" s="6">
        <v>10.0</v>
      </c>
      <c r="C12" s="6">
        <v>31.0</v>
      </c>
      <c r="D12" s="6" t="s">
        <v>16</v>
      </c>
      <c r="E12" s="6" t="s">
        <v>17</v>
      </c>
      <c r="F12" s="7"/>
      <c r="G12" s="7"/>
      <c r="H12" s="6">
        <v>2048.0</v>
      </c>
      <c r="I12" s="6">
        <v>200.0</v>
      </c>
      <c r="J12" s="6">
        <v>187.0</v>
      </c>
      <c r="K12" s="8" t="s">
        <v>28</v>
      </c>
      <c r="L12" s="8" t="s">
        <v>19</v>
      </c>
      <c r="M12" s="9"/>
    </row>
    <row r="13">
      <c r="A13" s="6">
        <v>101027.0</v>
      </c>
      <c r="B13" s="6">
        <v>10.0</v>
      </c>
      <c r="C13" s="6">
        <v>31.0</v>
      </c>
      <c r="D13" s="6" t="s">
        <v>16</v>
      </c>
      <c r="E13" s="6" t="s">
        <v>17</v>
      </c>
      <c r="F13" s="7"/>
      <c r="G13" s="7"/>
      <c r="H13" s="6">
        <v>2048.0</v>
      </c>
      <c r="I13" s="6">
        <v>200.0</v>
      </c>
      <c r="J13" s="6">
        <v>256.0</v>
      </c>
      <c r="K13" s="8" t="s">
        <v>29</v>
      </c>
      <c r="L13" s="8" t="s">
        <v>19</v>
      </c>
      <c r="M13" s="9"/>
    </row>
    <row r="14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8"/>
      <c r="L14" s="11"/>
      <c r="M14" s="11"/>
    </row>
    <row r="15">
      <c r="A15" s="17"/>
      <c r="B15" s="19"/>
      <c r="C15" s="19"/>
      <c r="D15" s="19"/>
      <c r="E15" s="19"/>
      <c r="F15" s="19"/>
      <c r="G15" s="19"/>
      <c r="H15" s="19"/>
      <c r="I15" s="19"/>
      <c r="J15" s="17"/>
      <c r="K15" s="18"/>
      <c r="L15" s="11"/>
      <c r="M15" s="11"/>
    </row>
    <row r="16">
      <c r="A16" s="17"/>
      <c r="B16" s="19"/>
      <c r="C16" s="19"/>
      <c r="D16" s="19"/>
      <c r="E16" s="19"/>
      <c r="F16" s="19"/>
      <c r="G16" s="19"/>
      <c r="H16" s="19"/>
      <c r="I16" s="19"/>
      <c r="J16" s="17"/>
      <c r="K16" s="18"/>
      <c r="L16" s="11"/>
      <c r="M16" s="11"/>
    </row>
    <row r="17">
      <c r="A17" s="17"/>
      <c r="B17" s="19"/>
      <c r="C17" s="19"/>
      <c r="D17" s="19"/>
      <c r="E17" s="19"/>
      <c r="F17" s="19"/>
      <c r="G17" s="19"/>
      <c r="H17" s="19"/>
      <c r="I17" s="19"/>
      <c r="J17" s="17"/>
      <c r="K17" s="18"/>
      <c r="L17" s="11"/>
      <c r="M17" s="11"/>
    </row>
    <row r="18">
      <c r="A18" s="17"/>
      <c r="B18" s="19"/>
      <c r="C18" s="19"/>
      <c r="D18" s="19"/>
      <c r="E18" s="19"/>
      <c r="F18" s="19"/>
      <c r="G18" s="19"/>
      <c r="H18" s="19"/>
      <c r="I18" s="19"/>
      <c r="J18" s="17"/>
      <c r="K18" s="18"/>
      <c r="L18" s="11"/>
      <c r="M18" s="11"/>
    </row>
    <row r="19">
      <c r="A19" s="17"/>
      <c r="B19" s="19"/>
      <c r="C19" s="19"/>
      <c r="D19" s="19"/>
      <c r="E19" s="19"/>
      <c r="F19" s="19"/>
      <c r="G19" s="19"/>
      <c r="H19" s="19"/>
      <c r="I19" s="19"/>
      <c r="J19" s="17"/>
      <c r="K19" s="18"/>
      <c r="L19" s="11"/>
      <c r="M19" s="11"/>
    </row>
    <row r="20">
      <c r="A20" s="17"/>
      <c r="B20" s="19"/>
      <c r="C20" s="19"/>
      <c r="D20" s="19"/>
      <c r="E20" s="19"/>
      <c r="F20" s="19"/>
      <c r="G20" s="19"/>
      <c r="H20" s="19"/>
      <c r="I20" s="19"/>
      <c r="J20" s="17"/>
      <c r="K20" s="18"/>
      <c r="L20" s="11"/>
      <c r="M20" s="11"/>
    </row>
    <row r="21">
      <c r="A21" s="17"/>
      <c r="B21" s="19"/>
      <c r="C21" s="19"/>
      <c r="D21" s="19"/>
      <c r="E21" s="19"/>
      <c r="F21" s="19"/>
      <c r="G21" s="19"/>
      <c r="H21" s="19"/>
      <c r="I21" s="19"/>
      <c r="J21" s="17"/>
      <c r="K21" s="18"/>
      <c r="L21" s="11"/>
      <c r="M21" s="11"/>
    </row>
    <row r="22">
      <c r="A22" s="17"/>
      <c r="B22" s="19"/>
      <c r="C22" s="19"/>
      <c r="D22" s="19"/>
      <c r="E22" s="19"/>
      <c r="F22" s="19"/>
      <c r="G22" s="19"/>
      <c r="H22" s="19"/>
      <c r="I22" s="19"/>
      <c r="J22" s="17"/>
      <c r="K22" s="18"/>
      <c r="L22" s="11"/>
      <c r="M22" s="11"/>
    </row>
    <row r="23">
      <c r="A23" s="17"/>
      <c r="B23" s="19"/>
      <c r="C23" s="19"/>
      <c r="D23" s="19"/>
      <c r="E23" s="19"/>
      <c r="F23" s="19"/>
      <c r="G23" s="19"/>
      <c r="H23" s="19"/>
      <c r="I23" s="19"/>
      <c r="J23" s="17"/>
      <c r="K23" s="18"/>
      <c r="L23" s="11"/>
      <c r="M23" s="11"/>
    </row>
    <row r="24">
      <c r="A24" s="17"/>
      <c r="B24" s="19"/>
      <c r="C24" s="19"/>
      <c r="D24" s="19"/>
      <c r="E24" s="19"/>
      <c r="F24" s="19"/>
      <c r="G24" s="19"/>
      <c r="H24" s="19"/>
      <c r="I24" s="19"/>
      <c r="J24" s="17"/>
      <c r="K24" s="18"/>
      <c r="L24" s="11"/>
      <c r="M24" s="11"/>
    </row>
    <row r="25">
      <c r="K25" s="13"/>
      <c r="L25" s="11"/>
      <c r="M25" s="11"/>
    </row>
    <row r="26">
      <c r="K26" s="13"/>
      <c r="L26" s="11"/>
      <c r="M26" s="11"/>
    </row>
    <row r="27">
      <c r="K27" s="13"/>
      <c r="L27" s="11"/>
      <c r="M27" s="11"/>
    </row>
    <row r="28">
      <c r="K28" s="13"/>
      <c r="L28" s="11"/>
      <c r="M28" s="11"/>
    </row>
    <row r="29">
      <c r="K29" s="13"/>
      <c r="L29" s="11"/>
      <c r="M29" s="11"/>
    </row>
    <row r="30">
      <c r="K30" s="13"/>
      <c r="L30" s="11"/>
      <c r="M30" s="11"/>
    </row>
    <row r="31">
      <c r="K31" s="13"/>
      <c r="L31" s="11"/>
      <c r="M31" s="11"/>
    </row>
    <row r="32">
      <c r="K32" s="13"/>
      <c r="L32" s="11"/>
      <c r="M32" s="11"/>
    </row>
    <row r="33">
      <c r="K33" s="13"/>
      <c r="L33" s="11"/>
      <c r="M33" s="11"/>
    </row>
    <row r="34">
      <c r="K34" s="13"/>
      <c r="L34" s="11"/>
      <c r="M34" s="11"/>
    </row>
    <row r="35">
      <c r="K35" s="13"/>
      <c r="L35" s="11"/>
      <c r="M35" s="11"/>
    </row>
    <row r="36">
      <c r="K36" s="13"/>
      <c r="L36" s="11"/>
      <c r="M36" s="11"/>
    </row>
    <row r="37">
      <c r="K37" s="13"/>
      <c r="L37" s="11"/>
      <c r="M37" s="11"/>
    </row>
    <row r="38">
      <c r="K38" s="13"/>
      <c r="L38" s="11"/>
      <c r="M38" s="11"/>
    </row>
    <row r="39">
      <c r="K39" s="13"/>
      <c r="L39" s="11"/>
      <c r="M39" s="11"/>
    </row>
    <row r="40">
      <c r="K40" s="13"/>
      <c r="L40" s="11"/>
      <c r="M40" s="11"/>
    </row>
    <row r="41">
      <c r="K41" s="13"/>
      <c r="L41" s="11"/>
      <c r="M41" s="11"/>
    </row>
    <row r="42">
      <c r="K42" s="13"/>
      <c r="L42" s="11"/>
      <c r="M42" s="11"/>
    </row>
    <row r="43">
      <c r="K43" s="13"/>
      <c r="L43" s="11"/>
      <c r="M43" s="11"/>
    </row>
    <row r="44">
      <c r="K44" s="13"/>
      <c r="L44" s="11"/>
      <c r="M44" s="11"/>
    </row>
    <row r="45">
      <c r="K45" s="13"/>
      <c r="L45" s="11"/>
      <c r="M45" s="11"/>
    </row>
    <row r="46">
      <c r="K46" s="13"/>
      <c r="L46" s="11"/>
      <c r="M46" s="11"/>
    </row>
    <row r="47">
      <c r="K47" s="13"/>
      <c r="L47" s="11"/>
      <c r="M47" s="11"/>
    </row>
    <row r="48">
      <c r="K48" s="13"/>
      <c r="L48" s="11"/>
      <c r="M48" s="11"/>
    </row>
    <row r="49">
      <c r="K49" s="13"/>
      <c r="L49" s="11"/>
      <c r="M49" s="11"/>
    </row>
    <row r="50">
      <c r="K50" s="13"/>
      <c r="L50" s="11"/>
      <c r="M50" s="11"/>
    </row>
    <row r="51">
      <c r="K51" s="13"/>
      <c r="L51" s="11"/>
      <c r="M51" s="11"/>
    </row>
    <row r="52">
      <c r="K52" s="13"/>
      <c r="L52" s="11"/>
      <c r="M52" s="11"/>
    </row>
    <row r="53">
      <c r="K53" s="13"/>
      <c r="L53" s="11"/>
      <c r="M53" s="11"/>
    </row>
    <row r="54">
      <c r="K54" s="13"/>
      <c r="L54" s="11"/>
      <c r="M54" s="11"/>
    </row>
    <row r="55">
      <c r="K55" s="13"/>
      <c r="L55" s="11"/>
      <c r="M55" s="11"/>
    </row>
    <row r="56">
      <c r="K56" s="13"/>
      <c r="L56" s="11"/>
      <c r="M56" s="11"/>
    </row>
    <row r="57">
      <c r="K57" s="13"/>
      <c r="L57" s="11"/>
      <c r="M57" s="11"/>
    </row>
    <row r="58">
      <c r="K58" s="13"/>
      <c r="L58" s="11"/>
      <c r="M58" s="11"/>
    </row>
    <row r="59">
      <c r="K59" s="13"/>
      <c r="L59" s="11"/>
      <c r="M59" s="11"/>
    </row>
    <row r="60">
      <c r="K60" s="13"/>
      <c r="L60" s="11"/>
      <c r="M60" s="11"/>
    </row>
    <row r="61">
      <c r="K61" s="13"/>
      <c r="L61" s="11"/>
      <c r="M61" s="11"/>
    </row>
    <row r="62">
      <c r="K62" s="13"/>
      <c r="L62" s="11"/>
      <c r="M62" s="11"/>
    </row>
    <row r="63">
      <c r="K63" s="13"/>
      <c r="L63" s="11"/>
      <c r="M63" s="11"/>
    </row>
    <row r="64">
      <c r="K64" s="13"/>
      <c r="L64" s="11"/>
      <c r="M64" s="11"/>
    </row>
    <row r="65">
      <c r="K65" s="13"/>
      <c r="L65" s="11"/>
      <c r="M65" s="11"/>
    </row>
    <row r="66">
      <c r="K66" s="13"/>
      <c r="L66" s="11"/>
      <c r="M66" s="11"/>
    </row>
    <row r="67">
      <c r="K67" s="13"/>
      <c r="L67" s="11"/>
      <c r="M67" s="11"/>
    </row>
    <row r="68">
      <c r="K68" s="13"/>
      <c r="L68" s="11"/>
      <c r="M68" s="11"/>
    </row>
    <row r="69">
      <c r="K69" s="13"/>
      <c r="L69" s="11"/>
      <c r="M69" s="11"/>
    </row>
    <row r="70">
      <c r="K70" s="13"/>
      <c r="L70" s="11"/>
      <c r="M70" s="11"/>
    </row>
    <row r="71">
      <c r="K71" s="13"/>
      <c r="L71" s="11"/>
      <c r="M71" s="11"/>
    </row>
    <row r="72">
      <c r="K72" s="13"/>
      <c r="L72" s="11"/>
      <c r="M72" s="11"/>
    </row>
    <row r="73">
      <c r="K73" s="13"/>
      <c r="L73" s="11"/>
      <c r="M73" s="11"/>
    </row>
    <row r="74">
      <c r="K74" s="13"/>
      <c r="L74" s="11"/>
      <c r="M74" s="11"/>
    </row>
    <row r="75">
      <c r="K75" s="13"/>
      <c r="L75" s="11"/>
      <c r="M75" s="11"/>
    </row>
    <row r="76">
      <c r="K76" s="13"/>
      <c r="L76" s="11"/>
      <c r="M76" s="11"/>
    </row>
    <row r="77">
      <c r="K77" s="13"/>
      <c r="L77" s="11"/>
      <c r="M77" s="11"/>
    </row>
    <row r="78">
      <c r="K78" s="13"/>
      <c r="L78" s="11"/>
      <c r="M78" s="11"/>
    </row>
    <row r="79">
      <c r="K79" s="13"/>
      <c r="L79" s="11"/>
      <c r="M79" s="11"/>
    </row>
    <row r="80">
      <c r="K80" s="13"/>
      <c r="L80" s="11"/>
      <c r="M80" s="11"/>
    </row>
    <row r="81">
      <c r="K81" s="13"/>
      <c r="L81" s="11"/>
      <c r="M81" s="11"/>
    </row>
    <row r="82">
      <c r="K82" s="13"/>
      <c r="L82" s="11"/>
      <c r="M82" s="11"/>
    </row>
    <row r="83">
      <c r="K83" s="13"/>
      <c r="L83" s="11"/>
      <c r="M83" s="11"/>
    </row>
    <row r="84">
      <c r="K84" s="13"/>
      <c r="L84" s="11"/>
      <c r="M84" s="11"/>
    </row>
    <row r="85">
      <c r="K85" s="13"/>
      <c r="L85" s="11"/>
      <c r="M85" s="11"/>
    </row>
    <row r="86">
      <c r="K86" s="13"/>
      <c r="L86" s="11"/>
      <c r="M86" s="11"/>
    </row>
    <row r="87">
      <c r="K87" s="13"/>
      <c r="L87" s="11"/>
      <c r="M87" s="11"/>
    </row>
    <row r="88">
      <c r="K88" s="13"/>
      <c r="L88" s="11"/>
      <c r="M88" s="11"/>
    </row>
    <row r="89">
      <c r="K89" s="13"/>
      <c r="L89" s="11"/>
      <c r="M89" s="11"/>
    </row>
    <row r="90">
      <c r="K90" s="13"/>
      <c r="L90" s="11"/>
      <c r="M90" s="11"/>
    </row>
    <row r="91">
      <c r="K91" s="13"/>
      <c r="L91" s="11"/>
      <c r="M91" s="11"/>
    </row>
    <row r="92">
      <c r="K92" s="13"/>
      <c r="L92" s="11"/>
      <c r="M92" s="11"/>
    </row>
    <row r="93">
      <c r="K93" s="13"/>
      <c r="L93" s="11"/>
      <c r="M93" s="11"/>
    </row>
    <row r="94">
      <c r="K94" s="13"/>
      <c r="L94" s="11"/>
      <c r="M94" s="11"/>
    </row>
    <row r="95">
      <c r="K95" s="13"/>
      <c r="L95" s="11"/>
      <c r="M95" s="11"/>
    </row>
    <row r="96">
      <c r="K96" s="13"/>
      <c r="L96" s="11"/>
      <c r="M96" s="11"/>
    </row>
    <row r="97">
      <c r="K97" s="13"/>
      <c r="L97" s="11"/>
      <c r="M97" s="11"/>
    </row>
    <row r="98">
      <c r="K98" s="13"/>
      <c r="L98" s="11"/>
      <c r="M98" s="11"/>
    </row>
    <row r="99">
      <c r="K99" s="13"/>
      <c r="L99" s="11"/>
      <c r="M99" s="11"/>
    </row>
    <row r="100">
      <c r="K100" s="13"/>
      <c r="L100" s="11"/>
      <c r="M100" s="11"/>
    </row>
    <row r="101">
      <c r="K101" s="13"/>
      <c r="L101" s="11"/>
      <c r="M101" s="11"/>
    </row>
    <row r="102">
      <c r="K102" s="13"/>
      <c r="L102" s="11"/>
      <c r="M102" s="11"/>
    </row>
    <row r="103">
      <c r="K103" s="13"/>
      <c r="L103" s="11"/>
      <c r="M103" s="11"/>
    </row>
    <row r="104">
      <c r="K104" s="13"/>
      <c r="L104" s="11"/>
      <c r="M104" s="11"/>
    </row>
    <row r="105">
      <c r="K105" s="13"/>
      <c r="L105" s="11"/>
      <c r="M105" s="11"/>
    </row>
    <row r="106">
      <c r="K106" s="13"/>
      <c r="L106" s="11"/>
      <c r="M106" s="11"/>
    </row>
    <row r="107">
      <c r="K107" s="13"/>
      <c r="L107" s="11"/>
      <c r="M107" s="11"/>
    </row>
    <row r="108">
      <c r="K108" s="13"/>
      <c r="L108" s="11"/>
      <c r="M108" s="11"/>
    </row>
    <row r="109">
      <c r="K109" s="13"/>
      <c r="L109" s="11"/>
      <c r="M109" s="11"/>
    </row>
    <row r="110">
      <c r="K110" s="13"/>
      <c r="L110" s="11"/>
      <c r="M110" s="11"/>
    </row>
    <row r="111">
      <c r="K111" s="13"/>
      <c r="L111" s="11"/>
      <c r="M111" s="11"/>
    </row>
    <row r="112">
      <c r="K112" s="13"/>
      <c r="L112" s="11"/>
      <c r="M112" s="11"/>
    </row>
    <row r="113">
      <c r="K113" s="13"/>
      <c r="L113" s="11"/>
      <c r="M113" s="11"/>
    </row>
    <row r="114">
      <c r="K114" s="13"/>
      <c r="L114" s="11"/>
      <c r="M114" s="11"/>
    </row>
    <row r="115">
      <c r="K115" s="13"/>
      <c r="L115" s="11"/>
      <c r="M115" s="11"/>
    </row>
    <row r="116">
      <c r="K116" s="13"/>
      <c r="L116" s="11"/>
      <c r="M116" s="11"/>
    </row>
    <row r="117">
      <c r="K117" s="13"/>
      <c r="L117" s="11"/>
      <c r="M117" s="11"/>
    </row>
    <row r="118">
      <c r="K118" s="13"/>
      <c r="L118" s="11"/>
      <c r="M118" s="11"/>
    </row>
    <row r="119">
      <c r="K119" s="13"/>
      <c r="L119" s="11"/>
      <c r="M119" s="11"/>
    </row>
    <row r="120">
      <c r="K120" s="13"/>
      <c r="L120" s="11"/>
      <c r="M120" s="11"/>
    </row>
    <row r="121">
      <c r="K121" s="13"/>
      <c r="L121" s="11"/>
      <c r="M121" s="11"/>
    </row>
    <row r="122">
      <c r="K122" s="13"/>
      <c r="L122" s="11"/>
      <c r="M122" s="11"/>
    </row>
    <row r="123">
      <c r="K123" s="13"/>
      <c r="L123" s="11"/>
      <c r="M123" s="11"/>
    </row>
    <row r="124">
      <c r="K124" s="13"/>
      <c r="L124" s="11"/>
      <c r="M124" s="11"/>
    </row>
    <row r="125">
      <c r="K125" s="13"/>
      <c r="L125" s="11"/>
      <c r="M125" s="11"/>
    </row>
    <row r="126">
      <c r="K126" s="13"/>
      <c r="L126" s="11"/>
      <c r="M126" s="11"/>
    </row>
    <row r="127">
      <c r="K127" s="13"/>
      <c r="L127" s="11"/>
      <c r="M127" s="11"/>
    </row>
    <row r="128">
      <c r="K128" s="13"/>
      <c r="L128" s="11"/>
      <c r="M128" s="11"/>
    </row>
    <row r="129">
      <c r="K129" s="13"/>
      <c r="L129" s="11"/>
      <c r="M129" s="11"/>
    </row>
    <row r="130">
      <c r="K130" s="13"/>
      <c r="L130" s="11"/>
      <c r="M130" s="11"/>
    </row>
    <row r="131">
      <c r="K131" s="13"/>
      <c r="L131" s="11"/>
      <c r="M131" s="11"/>
    </row>
    <row r="132">
      <c r="K132" s="13"/>
      <c r="L132" s="11"/>
      <c r="M132" s="11"/>
    </row>
    <row r="133">
      <c r="K133" s="13"/>
      <c r="L133" s="11"/>
      <c r="M133" s="11"/>
    </row>
    <row r="134">
      <c r="K134" s="13"/>
      <c r="L134" s="11"/>
      <c r="M134" s="11"/>
    </row>
    <row r="135">
      <c r="K135" s="13"/>
      <c r="L135" s="11"/>
      <c r="M135" s="11"/>
    </row>
    <row r="136">
      <c r="K136" s="13"/>
      <c r="L136" s="11"/>
      <c r="M136" s="11"/>
    </row>
    <row r="137">
      <c r="K137" s="13"/>
      <c r="L137" s="11"/>
      <c r="M137" s="11"/>
    </row>
    <row r="138">
      <c r="K138" s="13"/>
      <c r="L138" s="11"/>
      <c r="M138" s="11"/>
    </row>
    <row r="139">
      <c r="K139" s="13"/>
      <c r="L139" s="11"/>
      <c r="M139" s="11"/>
    </row>
    <row r="140">
      <c r="K140" s="13"/>
      <c r="L140" s="11"/>
      <c r="M140" s="11"/>
    </row>
    <row r="141">
      <c r="K141" s="13"/>
      <c r="L141" s="11"/>
      <c r="M141" s="11"/>
    </row>
    <row r="142">
      <c r="K142" s="13"/>
      <c r="L142" s="11"/>
      <c r="M142" s="11"/>
    </row>
    <row r="143">
      <c r="K143" s="13"/>
      <c r="L143" s="11"/>
      <c r="M143" s="11"/>
    </row>
    <row r="144">
      <c r="K144" s="13"/>
      <c r="L144" s="11"/>
      <c r="M144" s="11"/>
    </row>
    <row r="145">
      <c r="K145" s="13"/>
      <c r="L145" s="11"/>
      <c r="M145" s="11"/>
    </row>
    <row r="146">
      <c r="K146" s="13"/>
      <c r="L146" s="11"/>
      <c r="M146" s="11"/>
    </row>
    <row r="147">
      <c r="K147" s="13"/>
      <c r="L147" s="11"/>
      <c r="M147" s="11"/>
    </row>
    <row r="148">
      <c r="K148" s="13"/>
      <c r="L148" s="11"/>
      <c r="M148" s="11"/>
    </row>
    <row r="149">
      <c r="K149" s="13"/>
      <c r="L149" s="11"/>
      <c r="M149" s="11"/>
    </row>
    <row r="150">
      <c r="K150" s="13"/>
      <c r="L150" s="11"/>
      <c r="M150" s="11"/>
    </row>
    <row r="151">
      <c r="K151" s="13"/>
      <c r="L151" s="11"/>
      <c r="M151" s="11"/>
    </row>
    <row r="152">
      <c r="K152" s="13"/>
      <c r="L152" s="11"/>
      <c r="M152" s="11"/>
    </row>
    <row r="153">
      <c r="K153" s="13"/>
      <c r="L153" s="11"/>
      <c r="M153" s="11"/>
    </row>
    <row r="154">
      <c r="K154" s="13"/>
      <c r="L154" s="11"/>
      <c r="M154" s="11"/>
    </row>
    <row r="155">
      <c r="K155" s="13"/>
      <c r="L155" s="11"/>
      <c r="M155" s="11"/>
    </row>
    <row r="156">
      <c r="K156" s="13"/>
      <c r="L156" s="11"/>
      <c r="M156" s="11"/>
    </row>
    <row r="157">
      <c r="K157" s="13"/>
      <c r="L157" s="11"/>
      <c r="M157" s="11"/>
    </row>
    <row r="158">
      <c r="K158" s="13"/>
      <c r="L158" s="11"/>
      <c r="M158" s="11"/>
    </row>
    <row r="159">
      <c r="K159" s="13"/>
      <c r="L159" s="11"/>
      <c r="M159" s="11"/>
    </row>
    <row r="160">
      <c r="K160" s="13"/>
      <c r="L160" s="11"/>
      <c r="M160" s="11"/>
    </row>
    <row r="161">
      <c r="K161" s="13"/>
      <c r="L161" s="11"/>
      <c r="M161" s="11"/>
    </row>
    <row r="162">
      <c r="K162" s="13"/>
      <c r="L162" s="11"/>
      <c r="M162" s="11"/>
    </row>
    <row r="163">
      <c r="K163" s="13"/>
      <c r="L163" s="11"/>
      <c r="M163" s="11"/>
    </row>
    <row r="164">
      <c r="K164" s="13"/>
      <c r="L164" s="11"/>
      <c r="M164" s="11"/>
    </row>
    <row r="165">
      <c r="K165" s="13"/>
      <c r="L165" s="11"/>
      <c r="M165" s="11"/>
    </row>
    <row r="166">
      <c r="K166" s="13"/>
      <c r="L166" s="11"/>
      <c r="M166" s="11"/>
    </row>
    <row r="167">
      <c r="K167" s="13"/>
      <c r="L167" s="11"/>
      <c r="M167" s="11"/>
    </row>
    <row r="168">
      <c r="K168" s="13"/>
      <c r="L168" s="11"/>
      <c r="M168" s="11"/>
    </row>
    <row r="169">
      <c r="K169" s="13"/>
      <c r="L169" s="11"/>
      <c r="M169" s="11"/>
    </row>
    <row r="170">
      <c r="K170" s="13"/>
      <c r="L170" s="11"/>
      <c r="M170" s="11"/>
    </row>
    <row r="171">
      <c r="K171" s="13"/>
      <c r="L171" s="11"/>
      <c r="M171" s="11"/>
    </row>
    <row r="172">
      <c r="K172" s="13"/>
      <c r="L172" s="11"/>
      <c r="M172" s="11"/>
    </row>
    <row r="173">
      <c r="K173" s="13"/>
      <c r="L173" s="11"/>
      <c r="M173" s="11"/>
    </row>
    <row r="174">
      <c r="K174" s="13"/>
      <c r="L174" s="11"/>
      <c r="M174" s="11"/>
    </row>
    <row r="175">
      <c r="K175" s="13"/>
      <c r="L175" s="11"/>
      <c r="M175" s="11"/>
    </row>
    <row r="176">
      <c r="K176" s="13"/>
      <c r="L176" s="11"/>
      <c r="M176" s="11"/>
    </row>
    <row r="177">
      <c r="K177" s="13"/>
      <c r="L177" s="11"/>
      <c r="M177" s="11"/>
    </row>
    <row r="178">
      <c r="K178" s="13"/>
      <c r="L178" s="11"/>
      <c r="M178" s="11"/>
    </row>
    <row r="179">
      <c r="K179" s="13"/>
      <c r="L179" s="11"/>
      <c r="M179" s="11"/>
    </row>
    <row r="180">
      <c r="K180" s="13"/>
      <c r="L180" s="11"/>
      <c r="M180" s="11"/>
    </row>
    <row r="181">
      <c r="K181" s="13"/>
      <c r="L181" s="11"/>
      <c r="M181" s="11"/>
    </row>
    <row r="182">
      <c r="K182" s="13"/>
      <c r="L182" s="11"/>
      <c r="M182" s="11"/>
    </row>
    <row r="183">
      <c r="K183" s="13"/>
      <c r="L183" s="11"/>
      <c r="M183" s="11"/>
    </row>
    <row r="184">
      <c r="K184" s="13"/>
      <c r="L184" s="11"/>
      <c r="M184" s="11"/>
    </row>
    <row r="185">
      <c r="K185" s="13"/>
      <c r="L185" s="11"/>
      <c r="M185" s="11"/>
    </row>
    <row r="186">
      <c r="K186" s="13"/>
      <c r="L186" s="11"/>
      <c r="M186" s="11"/>
    </row>
    <row r="187">
      <c r="K187" s="13"/>
      <c r="L187" s="11"/>
      <c r="M187" s="11"/>
    </row>
    <row r="188">
      <c r="K188" s="13"/>
      <c r="L188" s="11"/>
      <c r="M188" s="11"/>
    </row>
    <row r="189">
      <c r="K189" s="13"/>
      <c r="L189" s="11"/>
      <c r="M189" s="11"/>
    </row>
    <row r="190">
      <c r="K190" s="13"/>
      <c r="L190" s="11"/>
      <c r="M190" s="11"/>
    </row>
    <row r="191">
      <c r="K191" s="13"/>
      <c r="L191" s="11"/>
      <c r="M191" s="11"/>
    </row>
    <row r="192">
      <c r="K192" s="13"/>
      <c r="L192" s="11"/>
      <c r="M192" s="11"/>
    </row>
    <row r="193">
      <c r="K193" s="13"/>
      <c r="L193" s="11"/>
      <c r="M193" s="11"/>
    </row>
    <row r="194">
      <c r="K194" s="13"/>
      <c r="L194" s="11"/>
      <c r="M194" s="11"/>
    </row>
    <row r="195">
      <c r="K195" s="13"/>
      <c r="L195" s="11"/>
      <c r="M195" s="11"/>
    </row>
    <row r="196">
      <c r="K196" s="13"/>
      <c r="L196" s="11"/>
      <c r="M196" s="11"/>
    </row>
    <row r="197">
      <c r="K197" s="13"/>
      <c r="L197" s="11"/>
      <c r="M197" s="11"/>
    </row>
    <row r="198">
      <c r="K198" s="13"/>
      <c r="L198" s="11"/>
      <c r="M198" s="11"/>
    </row>
    <row r="199">
      <c r="K199" s="13"/>
      <c r="L199" s="11"/>
      <c r="M199" s="11"/>
    </row>
    <row r="200">
      <c r="K200" s="13"/>
      <c r="L200" s="11"/>
      <c r="M200" s="11"/>
    </row>
    <row r="201">
      <c r="K201" s="13"/>
      <c r="L201" s="11"/>
      <c r="M201" s="11"/>
    </row>
    <row r="202">
      <c r="K202" s="13"/>
      <c r="L202" s="11"/>
      <c r="M202" s="11"/>
    </row>
    <row r="203">
      <c r="K203" s="13"/>
      <c r="L203" s="11"/>
      <c r="M203" s="11"/>
    </row>
    <row r="204">
      <c r="K204" s="13"/>
      <c r="L204" s="11"/>
      <c r="M204" s="11"/>
    </row>
    <row r="205">
      <c r="K205" s="13"/>
      <c r="L205" s="11"/>
      <c r="M205" s="11"/>
    </row>
    <row r="206">
      <c r="K206" s="13"/>
      <c r="L206" s="11"/>
      <c r="M206" s="11"/>
    </row>
    <row r="207">
      <c r="K207" s="13"/>
      <c r="L207" s="11"/>
      <c r="M207" s="11"/>
    </row>
    <row r="208">
      <c r="K208" s="13"/>
      <c r="L208" s="11"/>
      <c r="M208" s="11"/>
    </row>
    <row r="209">
      <c r="K209" s="13"/>
      <c r="L209" s="11"/>
      <c r="M209" s="11"/>
    </row>
    <row r="210">
      <c r="K210" s="13"/>
      <c r="L210" s="11"/>
      <c r="M210" s="11"/>
    </row>
    <row r="211">
      <c r="K211" s="13"/>
      <c r="L211" s="11"/>
      <c r="M211" s="11"/>
    </row>
    <row r="212">
      <c r="K212" s="13"/>
      <c r="L212" s="11"/>
      <c r="M212" s="11"/>
    </row>
    <row r="213">
      <c r="K213" s="13"/>
      <c r="L213" s="11"/>
      <c r="M213" s="11"/>
    </row>
    <row r="214">
      <c r="K214" s="13"/>
      <c r="L214" s="11"/>
      <c r="M214" s="11"/>
    </row>
    <row r="215">
      <c r="K215" s="13"/>
      <c r="L215" s="11"/>
      <c r="M215" s="11"/>
    </row>
    <row r="216">
      <c r="K216" s="13"/>
      <c r="L216" s="11"/>
      <c r="M216" s="11"/>
    </row>
    <row r="217">
      <c r="K217" s="13"/>
      <c r="L217" s="11"/>
      <c r="M217" s="11"/>
    </row>
    <row r="218">
      <c r="K218" s="13"/>
      <c r="L218" s="11"/>
      <c r="M218" s="11"/>
    </row>
    <row r="219">
      <c r="K219" s="13"/>
      <c r="L219" s="11"/>
      <c r="M219" s="11"/>
    </row>
    <row r="220">
      <c r="K220" s="13"/>
      <c r="L220" s="11"/>
      <c r="M220" s="11"/>
    </row>
    <row r="221">
      <c r="K221" s="13"/>
      <c r="L221" s="11"/>
      <c r="M221" s="11"/>
    </row>
    <row r="222">
      <c r="K222" s="13"/>
      <c r="L222" s="11"/>
      <c r="M222" s="11"/>
    </row>
    <row r="223">
      <c r="K223" s="13"/>
      <c r="L223" s="11"/>
      <c r="M223" s="11"/>
    </row>
    <row r="224">
      <c r="K224" s="13"/>
      <c r="L224" s="11"/>
      <c r="M224" s="11"/>
    </row>
    <row r="225">
      <c r="K225" s="13"/>
      <c r="L225" s="11"/>
      <c r="M225" s="11"/>
    </row>
    <row r="226">
      <c r="K226" s="13"/>
      <c r="L226" s="11"/>
      <c r="M226" s="11"/>
    </row>
    <row r="227">
      <c r="K227" s="13"/>
      <c r="L227" s="11"/>
      <c r="M227" s="11"/>
    </row>
    <row r="228">
      <c r="K228" s="13"/>
      <c r="L228" s="11"/>
      <c r="M228" s="11"/>
    </row>
    <row r="229">
      <c r="K229" s="13"/>
      <c r="L229" s="11"/>
      <c r="M229" s="11"/>
    </row>
    <row r="230">
      <c r="K230" s="13"/>
      <c r="L230" s="11"/>
      <c r="M230" s="11"/>
    </row>
    <row r="231">
      <c r="K231" s="13"/>
      <c r="L231" s="11"/>
      <c r="M231" s="11"/>
    </row>
    <row r="232">
      <c r="K232" s="13"/>
      <c r="L232" s="11"/>
      <c r="M232" s="11"/>
    </row>
    <row r="233">
      <c r="K233" s="13"/>
      <c r="L233" s="11"/>
      <c r="M233" s="11"/>
    </row>
    <row r="234">
      <c r="K234" s="13"/>
      <c r="L234" s="11"/>
      <c r="M234" s="11"/>
    </row>
    <row r="235">
      <c r="K235" s="13"/>
      <c r="L235" s="11"/>
      <c r="M235" s="11"/>
    </row>
    <row r="236">
      <c r="K236" s="13"/>
      <c r="L236" s="11"/>
      <c r="M236" s="11"/>
    </row>
    <row r="237">
      <c r="K237" s="13"/>
      <c r="L237" s="11"/>
      <c r="M237" s="11"/>
    </row>
    <row r="238">
      <c r="K238" s="13"/>
      <c r="L238" s="11"/>
      <c r="M238" s="11"/>
    </row>
    <row r="239">
      <c r="K239" s="13"/>
      <c r="L239" s="11"/>
      <c r="M239" s="11"/>
    </row>
    <row r="240">
      <c r="K240" s="13"/>
      <c r="L240" s="11"/>
      <c r="M240" s="11"/>
    </row>
    <row r="241">
      <c r="K241" s="13"/>
      <c r="L241" s="11"/>
      <c r="M241" s="11"/>
    </row>
    <row r="242">
      <c r="K242" s="13"/>
      <c r="L242" s="11"/>
      <c r="M242" s="11"/>
    </row>
    <row r="243">
      <c r="K243" s="13"/>
      <c r="L243" s="11"/>
      <c r="M243" s="11"/>
    </row>
    <row r="244">
      <c r="K244" s="13"/>
      <c r="L244" s="11"/>
      <c r="M244" s="11"/>
    </row>
    <row r="245">
      <c r="K245" s="13"/>
      <c r="L245" s="11"/>
      <c r="M245" s="11"/>
    </row>
    <row r="246">
      <c r="K246" s="13"/>
      <c r="L246" s="11"/>
      <c r="M246" s="11"/>
    </row>
    <row r="247">
      <c r="K247" s="13"/>
      <c r="L247" s="11"/>
      <c r="M247" s="11"/>
    </row>
    <row r="248">
      <c r="K248" s="13"/>
      <c r="L248" s="11"/>
      <c r="M248" s="11"/>
    </row>
    <row r="249">
      <c r="K249" s="13"/>
      <c r="L249" s="11"/>
      <c r="M249" s="11"/>
    </row>
    <row r="250">
      <c r="K250" s="13"/>
      <c r="L250" s="11"/>
      <c r="M250" s="11"/>
    </row>
    <row r="251">
      <c r="K251" s="13"/>
      <c r="L251" s="11"/>
      <c r="M251" s="11"/>
    </row>
    <row r="252">
      <c r="K252" s="13"/>
      <c r="L252" s="11"/>
      <c r="M252" s="11"/>
    </row>
    <row r="253">
      <c r="K253" s="13"/>
      <c r="L253" s="11"/>
      <c r="M253" s="11"/>
    </row>
    <row r="254">
      <c r="K254" s="13"/>
      <c r="L254" s="11"/>
      <c r="M254" s="11"/>
    </row>
    <row r="255">
      <c r="K255" s="13"/>
      <c r="L255" s="11"/>
      <c r="M255" s="11"/>
    </row>
    <row r="256">
      <c r="K256" s="13"/>
      <c r="L256" s="11"/>
      <c r="M256" s="11"/>
    </row>
    <row r="257">
      <c r="K257" s="13"/>
      <c r="L257" s="11"/>
      <c r="M257" s="11"/>
    </row>
    <row r="258">
      <c r="K258" s="13"/>
      <c r="L258" s="11"/>
      <c r="M258" s="11"/>
    </row>
    <row r="259">
      <c r="K259" s="13"/>
      <c r="L259" s="11"/>
      <c r="M259" s="11"/>
    </row>
    <row r="260">
      <c r="K260" s="13"/>
      <c r="L260" s="11"/>
      <c r="M260" s="11"/>
    </row>
    <row r="261">
      <c r="K261" s="13"/>
      <c r="L261" s="11"/>
      <c r="M261" s="11"/>
    </row>
    <row r="262">
      <c r="K262" s="13"/>
      <c r="L262" s="11"/>
      <c r="M262" s="11"/>
    </row>
    <row r="263">
      <c r="K263" s="13"/>
      <c r="L263" s="11"/>
      <c r="M263" s="11"/>
    </row>
    <row r="264">
      <c r="K264" s="13"/>
      <c r="L264" s="11"/>
      <c r="M264" s="11"/>
    </row>
    <row r="265">
      <c r="K265" s="13"/>
      <c r="L265" s="11"/>
      <c r="M265" s="11"/>
    </row>
    <row r="266">
      <c r="K266" s="13"/>
      <c r="L266" s="11"/>
      <c r="M266" s="11"/>
    </row>
    <row r="267">
      <c r="K267" s="13"/>
      <c r="L267" s="11"/>
      <c r="M267" s="11"/>
    </row>
    <row r="268">
      <c r="K268" s="13"/>
      <c r="L268" s="11"/>
      <c r="M268" s="11"/>
    </row>
    <row r="269">
      <c r="K269" s="13"/>
      <c r="L269" s="11"/>
      <c r="M269" s="11"/>
    </row>
    <row r="270">
      <c r="K270" s="13"/>
      <c r="L270" s="11"/>
      <c r="M270" s="11"/>
    </row>
    <row r="271">
      <c r="K271" s="13"/>
      <c r="L271" s="11"/>
      <c r="M271" s="11"/>
    </row>
    <row r="272">
      <c r="K272" s="13"/>
      <c r="L272" s="11"/>
      <c r="M272" s="11"/>
    </row>
    <row r="273">
      <c r="K273" s="13"/>
      <c r="L273" s="11"/>
      <c r="M273" s="11"/>
    </row>
    <row r="274">
      <c r="K274" s="13"/>
      <c r="L274" s="11"/>
      <c r="M274" s="11"/>
    </row>
    <row r="275">
      <c r="K275" s="13"/>
      <c r="L275" s="11"/>
      <c r="M275" s="11"/>
    </row>
    <row r="276">
      <c r="K276" s="13"/>
      <c r="L276" s="11"/>
      <c r="M276" s="11"/>
    </row>
    <row r="277">
      <c r="K277" s="13"/>
      <c r="L277" s="11"/>
      <c r="M277" s="11"/>
    </row>
    <row r="278">
      <c r="K278" s="13"/>
      <c r="L278" s="11"/>
      <c r="M278" s="11"/>
    </row>
    <row r="279">
      <c r="K279" s="13"/>
      <c r="L279" s="11"/>
      <c r="M279" s="11"/>
    </row>
    <row r="280">
      <c r="K280" s="13"/>
      <c r="L280" s="11"/>
      <c r="M280" s="11"/>
    </row>
    <row r="281">
      <c r="K281" s="13"/>
      <c r="L281" s="11"/>
      <c r="M281" s="11"/>
    </row>
    <row r="282">
      <c r="K282" s="13"/>
      <c r="L282" s="11"/>
      <c r="M282" s="11"/>
    </row>
    <row r="283">
      <c r="K283" s="13"/>
      <c r="L283" s="11"/>
      <c r="M283" s="11"/>
    </row>
    <row r="284">
      <c r="K284" s="13"/>
      <c r="L284" s="11"/>
      <c r="M284" s="11"/>
    </row>
    <row r="285">
      <c r="K285" s="13"/>
      <c r="L285" s="11"/>
      <c r="M285" s="11"/>
    </row>
    <row r="286">
      <c r="K286" s="13"/>
      <c r="L286" s="11"/>
      <c r="M286" s="11"/>
    </row>
    <row r="287">
      <c r="K287" s="13"/>
      <c r="L287" s="11"/>
      <c r="M287" s="11"/>
    </row>
    <row r="288">
      <c r="K288" s="13"/>
      <c r="L288" s="11"/>
      <c r="M288" s="11"/>
    </row>
    <row r="289">
      <c r="K289" s="13"/>
      <c r="L289" s="11"/>
      <c r="M289" s="11"/>
    </row>
    <row r="290">
      <c r="K290" s="13"/>
      <c r="L290" s="11"/>
      <c r="M290" s="11"/>
    </row>
    <row r="291">
      <c r="K291" s="13"/>
      <c r="L291" s="11"/>
      <c r="M291" s="11"/>
    </row>
    <row r="292">
      <c r="K292" s="13"/>
      <c r="L292" s="11"/>
      <c r="M292" s="11"/>
    </row>
    <row r="293">
      <c r="K293" s="13"/>
      <c r="L293" s="11"/>
      <c r="M293" s="11"/>
    </row>
    <row r="294">
      <c r="K294" s="13"/>
      <c r="L294" s="11"/>
      <c r="M294" s="11"/>
    </row>
    <row r="295">
      <c r="K295" s="13"/>
      <c r="L295" s="11"/>
      <c r="M295" s="11"/>
    </row>
    <row r="296">
      <c r="K296" s="13"/>
      <c r="L296" s="11"/>
      <c r="M296" s="11"/>
    </row>
    <row r="297">
      <c r="K297" s="13"/>
      <c r="L297" s="11"/>
      <c r="M297" s="11"/>
    </row>
    <row r="298">
      <c r="K298" s="13"/>
      <c r="L298" s="11"/>
      <c r="M298" s="11"/>
    </row>
    <row r="299">
      <c r="K299" s="13"/>
      <c r="L299" s="11"/>
      <c r="M299" s="11"/>
    </row>
    <row r="300">
      <c r="K300" s="13"/>
      <c r="L300" s="11"/>
      <c r="M300" s="11"/>
    </row>
    <row r="301">
      <c r="K301" s="13"/>
      <c r="L301" s="11"/>
      <c r="M301" s="11"/>
    </row>
    <row r="302">
      <c r="K302" s="13"/>
      <c r="L302" s="11"/>
      <c r="M302" s="11"/>
    </row>
    <row r="303">
      <c r="K303" s="13"/>
      <c r="L303" s="11"/>
      <c r="M303" s="11"/>
    </row>
    <row r="304">
      <c r="K304" s="13"/>
      <c r="L304" s="11"/>
      <c r="M304" s="11"/>
    </row>
    <row r="305">
      <c r="K305" s="13"/>
      <c r="L305" s="11"/>
      <c r="M305" s="11"/>
    </row>
    <row r="306">
      <c r="K306" s="13"/>
      <c r="L306" s="11"/>
      <c r="M306" s="11"/>
    </row>
    <row r="307">
      <c r="K307" s="13"/>
      <c r="L307" s="11"/>
      <c r="M307" s="11"/>
    </row>
    <row r="308">
      <c r="K308" s="13"/>
      <c r="L308" s="11"/>
      <c r="M308" s="11"/>
    </row>
    <row r="309">
      <c r="K309" s="13"/>
      <c r="L309" s="11"/>
      <c r="M309" s="11"/>
    </row>
    <row r="310">
      <c r="K310" s="13"/>
      <c r="L310" s="11"/>
      <c r="M310" s="11"/>
    </row>
    <row r="311">
      <c r="K311" s="13"/>
      <c r="L311" s="11"/>
      <c r="M311" s="11"/>
    </row>
    <row r="312">
      <c r="K312" s="13"/>
      <c r="L312" s="11"/>
      <c r="M312" s="11"/>
    </row>
    <row r="313">
      <c r="K313" s="13"/>
      <c r="L313" s="11"/>
      <c r="M313" s="11"/>
    </row>
    <row r="314">
      <c r="K314" s="13"/>
      <c r="L314" s="11"/>
      <c r="M314" s="11"/>
    </row>
    <row r="315">
      <c r="K315" s="13"/>
      <c r="L315" s="11"/>
      <c r="M315" s="11"/>
    </row>
    <row r="316">
      <c r="K316" s="13"/>
      <c r="L316" s="11"/>
      <c r="M316" s="11"/>
    </row>
    <row r="317">
      <c r="K317" s="13"/>
      <c r="L317" s="11"/>
      <c r="M317" s="11"/>
    </row>
    <row r="318">
      <c r="K318" s="13"/>
      <c r="L318" s="11"/>
      <c r="M318" s="11"/>
    </row>
    <row r="319">
      <c r="K319" s="13"/>
      <c r="L319" s="11"/>
      <c r="M319" s="11"/>
    </row>
    <row r="320">
      <c r="K320" s="13"/>
      <c r="L320" s="11"/>
      <c r="M320" s="11"/>
    </row>
    <row r="321">
      <c r="K321" s="13"/>
      <c r="L321" s="11"/>
      <c r="M321" s="11"/>
    </row>
    <row r="322">
      <c r="K322" s="13"/>
      <c r="L322" s="11"/>
      <c r="M322" s="11"/>
    </row>
    <row r="323">
      <c r="K323" s="13"/>
      <c r="L323" s="11"/>
      <c r="M323" s="11"/>
    </row>
    <row r="324">
      <c r="K324" s="13"/>
      <c r="L324" s="11"/>
      <c r="M324" s="11"/>
    </row>
    <row r="325">
      <c r="K325" s="13"/>
      <c r="L325" s="11"/>
      <c r="M325" s="11"/>
    </row>
    <row r="326">
      <c r="K326" s="13"/>
      <c r="L326" s="11"/>
      <c r="M326" s="11"/>
    </row>
    <row r="327">
      <c r="K327" s="13"/>
      <c r="L327" s="11"/>
      <c r="M327" s="11"/>
    </row>
    <row r="328">
      <c r="K328" s="13"/>
      <c r="L328" s="11"/>
      <c r="M328" s="11"/>
    </row>
    <row r="329">
      <c r="K329" s="13"/>
      <c r="L329" s="11"/>
      <c r="M329" s="11"/>
    </row>
    <row r="330">
      <c r="K330" s="13"/>
      <c r="L330" s="11"/>
      <c r="M330" s="11"/>
    </row>
    <row r="331">
      <c r="K331" s="13"/>
      <c r="L331" s="11"/>
      <c r="M331" s="11"/>
    </row>
    <row r="332">
      <c r="K332" s="13"/>
      <c r="L332" s="11"/>
      <c r="M332" s="11"/>
    </row>
    <row r="333">
      <c r="K333" s="13"/>
      <c r="L333" s="11"/>
      <c r="M333" s="11"/>
    </row>
    <row r="334">
      <c r="K334" s="13"/>
      <c r="L334" s="11"/>
      <c r="M334" s="11"/>
    </row>
    <row r="335">
      <c r="K335" s="13"/>
      <c r="L335" s="11"/>
      <c r="M335" s="11"/>
    </row>
    <row r="336">
      <c r="K336" s="13"/>
      <c r="L336" s="11"/>
      <c r="M336" s="11"/>
    </row>
    <row r="337">
      <c r="K337" s="13"/>
      <c r="L337" s="11"/>
      <c r="M337" s="11"/>
    </row>
    <row r="338">
      <c r="K338" s="13"/>
      <c r="L338" s="11"/>
      <c r="M338" s="11"/>
    </row>
    <row r="339">
      <c r="K339" s="13"/>
      <c r="L339" s="11"/>
      <c r="M339" s="11"/>
    </row>
    <row r="340">
      <c r="K340" s="13"/>
      <c r="L340" s="11"/>
      <c r="M340" s="11"/>
    </row>
    <row r="341">
      <c r="K341" s="13"/>
      <c r="L341" s="11"/>
      <c r="M341" s="11"/>
    </row>
    <row r="342">
      <c r="K342" s="13"/>
      <c r="L342" s="11"/>
      <c r="M342" s="11"/>
    </row>
    <row r="343">
      <c r="K343" s="13"/>
      <c r="L343" s="11"/>
      <c r="M343" s="11"/>
    </row>
    <row r="344">
      <c r="K344" s="13"/>
      <c r="L344" s="11"/>
      <c r="M344" s="11"/>
    </row>
    <row r="345">
      <c r="K345" s="13"/>
      <c r="L345" s="11"/>
      <c r="M345" s="11"/>
    </row>
    <row r="346">
      <c r="K346" s="13"/>
      <c r="L346" s="11"/>
      <c r="M346" s="11"/>
    </row>
    <row r="347">
      <c r="K347" s="13"/>
      <c r="L347" s="11"/>
      <c r="M347" s="11"/>
    </row>
    <row r="348">
      <c r="K348" s="13"/>
      <c r="L348" s="11"/>
      <c r="M348" s="11"/>
    </row>
    <row r="349">
      <c r="K349" s="13"/>
      <c r="L349" s="11"/>
      <c r="M349" s="11"/>
    </row>
    <row r="350">
      <c r="K350" s="13"/>
      <c r="L350" s="11"/>
      <c r="M350" s="11"/>
    </row>
    <row r="351">
      <c r="K351" s="13"/>
      <c r="L351" s="11"/>
      <c r="M351" s="11"/>
    </row>
    <row r="352">
      <c r="K352" s="13"/>
      <c r="L352" s="11"/>
      <c r="M352" s="11"/>
    </row>
    <row r="353">
      <c r="K353" s="13"/>
      <c r="L353" s="11"/>
      <c r="M353" s="11"/>
    </row>
    <row r="354">
      <c r="K354" s="13"/>
      <c r="L354" s="11"/>
      <c r="M354" s="11"/>
    </row>
    <row r="355">
      <c r="K355" s="13"/>
      <c r="L355" s="11"/>
      <c r="M355" s="11"/>
    </row>
    <row r="356">
      <c r="K356" s="13"/>
      <c r="L356" s="11"/>
      <c r="M356" s="11"/>
    </row>
    <row r="357">
      <c r="K357" s="13"/>
      <c r="L357" s="11"/>
      <c r="M357" s="11"/>
    </row>
    <row r="358">
      <c r="K358" s="13"/>
      <c r="L358" s="11"/>
      <c r="M358" s="11"/>
    </row>
    <row r="359">
      <c r="K359" s="13"/>
      <c r="L359" s="11"/>
      <c r="M359" s="11"/>
    </row>
    <row r="360">
      <c r="K360" s="13"/>
      <c r="L360" s="11"/>
      <c r="M360" s="11"/>
    </row>
    <row r="361">
      <c r="K361" s="13"/>
      <c r="L361" s="11"/>
      <c r="M361" s="11"/>
    </row>
    <row r="362">
      <c r="K362" s="13"/>
      <c r="L362" s="11"/>
      <c r="M362" s="11"/>
    </row>
    <row r="363">
      <c r="K363" s="13"/>
      <c r="L363" s="11"/>
      <c r="M363" s="11"/>
    </row>
    <row r="364">
      <c r="K364" s="13"/>
      <c r="L364" s="11"/>
      <c r="M364" s="11"/>
    </row>
    <row r="365">
      <c r="K365" s="13"/>
      <c r="L365" s="11"/>
      <c r="M365" s="11"/>
    </row>
    <row r="366">
      <c r="K366" s="13"/>
      <c r="L366" s="11"/>
      <c r="M366" s="11"/>
    </row>
    <row r="367">
      <c r="K367" s="13"/>
      <c r="L367" s="11"/>
      <c r="M367" s="11"/>
    </row>
    <row r="368">
      <c r="K368" s="13"/>
      <c r="L368" s="11"/>
      <c r="M368" s="11"/>
    </row>
    <row r="369">
      <c r="K369" s="13"/>
      <c r="L369" s="11"/>
      <c r="M369" s="11"/>
    </row>
    <row r="370">
      <c r="K370" s="13"/>
      <c r="L370" s="11"/>
      <c r="M370" s="11"/>
    </row>
    <row r="371">
      <c r="K371" s="13"/>
      <c r="L371" s="11"/>
      <c r="M371" s="11"/>
    </row>
    <row r="372">
      <c r="K372" s="13"/>
      <c r="L372" s="11"/>
      <c r="M372" s="11"/>
    </row>
    <row r="373">
      <c r="K373" s="13"/>
      <c r="L373" s="11"/>
      <c r="M373" s="11"/>
    </row>
    <row r="374">
      <c r="K374" s="13"/>
      <c r="L374" s="11"/>
      <c r="M374" s="11"/>
    </row>
    <row r="375">
      <c r="K375" s="13"/>
      <c r="L375" s="11"/>
      <c r="M375" s="11"/>
    </row>
    <row r="376">
      <c r="K376" s="13"/>
      <c r="L376" s="11"/>
      <c r="M376" s="11"/>
    </row>
    <row r="377">
      <c r="K377" s="13"/>
      <c r="L377" s="11"/>
      <c r="M377" s="11"/>
    </row>
    <row r="378">
      <c r="K378" s="13"/>
      <c r="L378" s="11"/>
      <c r="M378" s="11"/>
    </row>
    <row r="379">
      <c r="K379" s="13"/>
      <c r="L379" s="11"/>
      <c r="M379" s="11"/>
    </row>
    <row r="380">
      <c r="K380" s="13"/>
      <c r="L380" s="11"/>
      <c r="M380" s="11"/>
    </row>
    <row r="381">
      <c r="K381" s="13"/>
      <c r="L381" s="11"/>
      <c r="M381" s="11"/>
    </row>
    <row r="382">
      <c r="K382" s="13"/>
      <c r="L382" s="11"/>
      <c r="M382" s="11"/>
    </row>
    <row r="383">
      <c r="K383" s="13"/>
      <c r="L383" s="11"/>
      <c r="M383" s="11"/>
    </row>
    <row r="384">
      <c r="K384" s="13"/>
      <c r="L384" s="11"/>
      <c r="M384" s="11"/>
    </row>
    <row r="385">
      <c r="K385" s="13"/>
      <c r="L385" s="11"/>
      <c r="M385" s="11"/>
    </row>
    <row r="386">
      <c r="K386" s="13"/>
      <c r="L386" s="11"/>
      <c r="M386" s="11"/>
    </row>
    <row r="387">
      <c r="K387" s="13"/>
      <c r="L387" s="11"/>
      <c r="M387" s="11"/>
    </row>
    <row r="388">
      <c r="K388" s="13"/>
      <c r="L388" s="11"/>
      <c r="M388" s="11"/>
    </row>
    <row r="389">
      <c r="K389" s="13"/>
      <c r="L389" s="11"/>
      <c r="M389" s="11"/>
    </row>
    <row r="390">
      <c r="K390" s="13"/>
      <c r="L390" s="11"/>
      <c r="M390" s="11"/>
    </row>
    <row r="391">
      <c r="K391" s="13"/>
      <c r="L391" s="11"/>
      <c r="M391" s="11"/>
    </row>
    <row r="392">
      <c r="K392" s="13"/>
      <c r="L392" s="11"/>
      <c r="M392" s="11"/>
    </row>
    <row r="393">
      <c r="K393" s="13"/>
      <c r="L393" s="11"/>
      <c r="M393" s="11"/>
    </row>
    <row r="394">
      <c r="K394" s="13"/>
      <c r="L394" s="11"/>
      <c r="M394" s="11"/>
    </row>
    <row r="395">
      <c r="K395" s="13"/>
      <c r="L395" s="11"/>
      <c r="M395" s="11"/>
    </row>
    <row r="396">
      <c r="K396" s="13"/>
      <c r="L396" s="11"/>
      <c r="M396" s="11"/>
    </row>
    <row r="397">
      <c r="K397" s="13"/>
      <c r="L397" s="11"/>
      <c r="M397" s="11"/>
    </row>
    <row r="398">
      <c r="K398" s="13"/>
      <c r="L398" s="11"/>
      <c r="M398" s="11"/>
    </row>
    <row r="399">
      <c r="K399" s="13"/>
      <c r="L399" s="11"/>
      <c r="M399" s="11"/>
    </row>
    <row r="400">
      <c r="K400" s="13"/>
      <c r="L400" s="11"/>
      <c r="M400" s="11"/>
    </row>
    <row r="401">
      <c r="K401" s="13"/>
      <c r="L401" s="11"/>
      <c r="M401" s="11"/>
    </row>
    <row r="402">
      <c r="K402" s="13"/>
      <c r="L402" s="11"/>
      <c r="M402" s="11"/>
    </row>
    <row r="403">
      <c r="K403" s="13"/>
      <c r="L403" s="11"/>
      <c r="M403" s="11"/>
    </row>
    <row r="404">
      <c r="K404" s="13"/>
      <c r="L404" s="11"/>
      <c r="M404" s="11"/>
    </row>
    <row r="405">
      <c r="K405" s="13"/>
      <c r="L405" s="11"/>
      <c r="M405" s="11"/>
    </row>
    <row r="406">
      <c r="K406" s="13"/>
      <c r="L406" s="11"/>
      <c r="M406" s="11"/>
    </row>
    <row r="407">
      <c r="K407" s="13"/>
      <c r="L407" s="11"/>
      <c r="M407" s="11"/>
    </row>
    <row r="408">
      <c r="K408" s="13"/>
      <c r="L408" s="11"/>
      <c r="M408" s="11"/>
    </row>
    <row r="409">
      <c r="K409" s="13"/>
      <c r="L409" s="11"/>
      <c r="M409" s="11"/>
    </row>
    <row r="410">
      <c r="K410" s="13"/>
      <c r="L410" s="11"/>
      <c r="M410" s="11"/>
    </row>
    <row r="411">
      <c r="K411" s="13"/>
      <c r="L411" s="11"/>
      <c r="M411" s="11"/>
    </row>
    <row r="412">
      <c r="K412" s="13"/>
      <c r="L412" s="11"/>
      <c r="M412" s="11"/>
    </row>
    <row r="413">
      <c r="K413" s="13"/>
      <c r="L413" s="11"/>
      <c r="M413" s="11"/>
    </row>
    <row r="414">
      <c r="K414" s="13"/>
      <c r="L414" s="11"/>
      <c r="M414" s="11"/>
    </row>
    <row r="415">
      <c r="K415" s="13"/>
      <c r="L415" s="11"/>
      <c r="M415" s="11"/>
    </row>
    <row r="416">
      <c r="K416" s="13"/>
      <c r="L416" s="11"/>
      <c r="M416" s="11"/>
    </row>
    <row r="417">
      <c r="K417" s="13"/>
      <c r="L417" s="11"/>
      <c r="M417" s="11"/>
    </row>
    <row r="418">
      <c r="K418" s="13"/>
      <c r="L418" s="11"/>
      <c r="M418" s="11"/>
    </row>
    <row r="419">
      <c r="K419" s="13"/>
      <c r="L419" s="11"/>
      <c r="M419" s="11"/>
    </row>
    <row r="420">
      <c r="K420" s="13"/>
      <c r="L420" s="11"/>
      <c r="M420" s="11"/>
    </row>
    <row r="421">
      <c r="K421" s="13"/>
      <c r="L421" s="11"/>
      <c r="M421" s="11"/>
    </row>
    <row r="422">
      <c r="K422" s="13"/>
      <c r="L422" s="11"/>
      <c r="M422" s="11"/>
    </row>
    <row r="423">
      <c r="K423" s="13"/>
      <c r="L423" s="11"/>
      <c r="M423" s="11"/>
    </row>
    <row r="424">
      <c r="K424" s="13"/>
      <c r="L424" s="11"/>
      <c r="M424" s="11"/>
    </row>
    <row r="425">
      <c r="K425" s="13"/>
      <c r="L425" s="11"/>
      <c r="M425" s="11"/>
    </row>
    <row r="426">
      <c r="K426" s="13"/>
      <c r="L426" s="11"/>
      <c r="M426" s="11"/>
    </row>
    <row r="427">
      <c r="K427" s="13"/>
      <c r="L427" s="11"/>
      <c r="M427" s="11"/>
    </row>
    <row r="428">
      <c r="K428" s="13"/>
      <c r="L428" s="11"/>
      <c r="M428" s="11"/>
    </row>
    <row r="429">
      <c r="K429" s="13"/>
      <c r="L429" s="11"/>
      <c r="M429" s="11"/>
    </row>
    <row r="430">
      <c r="K430" s="13"/>
      <c r="L430" s="11"/>
      <c r="M430" s="11"/>
    </row>
    <row r="431">
      <c r="K431" s="13"/>
      <c r="L431" s="11"/>
      <c r="M431" s="11"/>
    </row>
    <row r="432">
      <c r="K432" s="13"/>
      <c r="L432" s="11"/>
      <c r="M432" s="11"/>
    </row>
    <row r="433">
      <c r="K433" s="13"/>
      <c r="L433" s="11"/>
      <c r="M433" s="11"/>
    </row>
    <row r="434">
      <c r="K434" s="13"/>
      <c r="L434" s="11"/>
      <c r="M434" s="11"/>
    </row>
    <row r="435">
      <c r="K435" s="13"/>
      <c r="L435" s="11"/>
      <c r="M435" s="11"/>
    </row>
    <row r="436">
      <c r="K436" s="13"/>
      <c r="L436" s="11"/>
      <c r="M436" s="11"/>
    </row>
    <row r="437">
      <c r="K437" s="13"/>
      <c r="L437" s="11"/>
      <c r="M437" s="11"/>
    </row>
    <row r="438">
      <c r="K438" s="13"/>
      <c r="L438" s="11"/>
      <c r="M438" s="11"/>
    </row>
    <row r="439">
      <c r="K439" s="13"/>
      <c r="L439" s="11"/>
      <c r="M439" s="11"/>
    </row>
    <row r="440">
      <c r="K440" s="13"/>
      <c r="L440" s="11"/>
      <c r="M440" s="11"/>
    </row>
    <row r="441">
      <c r="K441" s="13"/>
      <c r="L441" s="11"/>
      <c r="M441" s="11"/>
    </row>
    <row r="442">
      <c r="K442" s="13"/>
      <c r="L442" s="11"/>
      <c r="M442" s="11"/>
    </row>
    <row r="443">
      <c r="K443" s="13"/>
      <c r="L443" s="11"/>
      <c r="M443" s="11"/>
    </row>
    <row r="444">
      <c r="K444" s="13"/>
      <c r="L444" s="11"/>
      <c r="M444" s="11"/>
    </row>
    <row r="445">
      <c r="K445" s="13"/>
      <c r="L445" s="11"/>
      <c r="M445" s="11"/>
    </row>
    <row r="446">
      <c r="K446" s="13"/>
      <c r="L446" s="11"/>
      <c r="M446" s="11"/>
    </row>
    <row r="447">
      <c r="K447" s="13"/>
      <c r="L447" s="11"/>
      <c r="M447" s="11"/>
    </row>
    <row r="448">
      <c r="K448" s="13"/>
      <c r="L448" s="11"/>
      <c r="M448" s="11"/>
    </row>
    <row r="449">
      <c r="K449" s="13"/>
      <c r="L449" s="11"/>
      <c r="M449" s="11"/>
    </row>
    <row r="450">
      <c r="K450" s="13"/>
      <c r="L450" s="11"/>
      <c r="M450" s="11"/>
    </row>
    <row r="451">
      <c r="K451" s="13"/>
      <c r="L451" s="11"/>
      <c r="M451" s="11"/>
    </row>
    <row r="452">
      <c r="K452" s="13"/>
      <c r="L452" s="11"/>
      <c r="M452" s="11"/>
    </row>
    <row r="453">
      <c r="K453" s="13"/>
      <c r="L453" s="11"/>
      <c r="M453" s="11"/>
    </row>
    <row r="454">
      <c r="K454" s="13"/>
      <c r="L454" s="11"/>
      <c r="M454" s="11"/>
    </row>
    <row r="455">
      <c r="K455" s="13"/>
      <c r="L455" s="11"/>
      <c r="M455" s="11"/>
    </row>
    <row r="456">
      <c r="K456" s="13"/>
      <c r="L456" s="11"/>
      <c r="M456" s="11"/>
    </row>
    <row r="457">
      <c r="K457" s="13"/>
      <c r="L457" s="11"/>
      <c r="M457" s="11"/>
    </row>
    <row r="458">
      <c r="K458" s="13"/>
      <c r="L458" s="11"/>
      <c r="M458" s="11"/>
    </row>
    <row r="459">
      <c r="K459" s="13"/>
      <c r="L459" s="11"/>
      <c r="M459" s="11"/>
    </row>
    <row r="460">
      <c r="K460" s="13"/>
      <c r="L460" s="11"/>
      <c r="M460" s="11"/>
    </row>
    <row r="461">
      <c r="K461" s="13"/>
      <c r="L461" s="11"/>
      <c r="M461" s="11"/>
    </row>
    <row r="462">
      <c r="K462" s="13"/>
      <c r="L462" s="11"/>
      <c r="M462" s="11"/>
    </row>
    <row r="463">
      <c r="K463" s="13"/>
      <c r="L463" s="11"/>
      <c r="M463" s="11"/>
    </row>
    <row r="464">
      <c r="K464" s="13"/>
      <c r="L464" s="11"/>
      <c r="M464" s="11"/>
    </row>
    <row r="465">
      <c r="K465" s="13"/>
      <c r="L465" s="11"/>
      <c r="M465" s="11"/>
    </row>
    <row r="466">
      <c r="K466" s="13"/>
      <c r="L466" s="11"/>
      <c r="M466" s="11"/>
    </row>
    <row r="467">
      <c r="K467" s="13"/>
      <c r="L467" s="11"/>
      <c r="M467" s="11"/>
    </row>
    <row r="468">
      <c r="K468" s="13"/>
      <c r="L468" s="11"/>
      <c r="M468" s="11"/>
    </row>
    <row r="469">
      <c r="K469" s="13"/>
      <c r="L469" s="11"/>
      <c r="M469" s="11"/>
    </row>
    <row r="470">
      <c r="K470" s="13"/>
      <c r="L470" s="11"/>
      <c r="M470" s="11"/>
    </row>
    <row r="471">
      <c r="K471" s="13"/>
      <c r="L471" s="11"/>
      <c r="M471" s="11"/>
    </row>
    <row r="472">
      <c r="K472" s="13"/>
      <c r="L472" s="11"/>
      <c r="M472" s="11"/>
    </row>
    <row r="473">
      <c r="K473" s="13"/>
      <c r="L473" s="11"/>
      <c r="M473" s="11"/>
    </row>
    <row r="474">
      <c r="K474" s="13"/>
      <c r="L474" s="11"/>
      <c r="M474" s="11"/>
    </row>
    <row r="475">
      <c r="K475" s="13"/>
      <c r="L475" s="11"/>
      <c r="M475" s="11"/>
    </row>
    <row r="476">
      <c r="K476" s="13"/>
      <c r="L476" s="11"/>
      <c r="M476" s="11"/>
    </row>
    <row r="477">
      <c r="K477" s="13"/>
      <c r="L477" s="11"/>
      <c r="M477" s="11"/>
    </row>
    <row r="478">
      <c r="K478" s="13"/>
      <c r="L478" s="11"/>
      <c r="M478" s="11"/>
    </row>
    <row r="479">
      <c r="K479" s="13"/>
      <c r="L479" s="11"/>
      <c r="M479" s="11"/>
    </row>
    <row r="480">
      <c r="K480" s="13"/>
      <c r="L480" s="11"/>
      <c r="M480" s="11"/>
    </row>
    <row r="481">
      <c r="K481" s="13"/>
      <c r="L481" s="11"/>
      <c r="M481" s="11"/>
    </row>
    <row r="482">
      <c r="K482" s="13"/>
      <c r="L482" s="11"/>
      <c r="M482" s="11"/>
    </row>
    <row r="483">
      <c r="K483" s="13"/>
      <c r="L483" s="11"/>
      <c r="M483" s="11"/>
    </row>
    <row r="484">
      <c r="K484" s="13"/>
      <c r="L484" s="11"/>
      <c r="M484" s="11"/>
    </row>
    <row r="485">
      <c r="K485" s="13"/>
      <c r="L485" s="11"/>
      <c r="M485" s="11"/>
    </row>
    <row r="486">
      <c r="K486" s="13"/>
      <c r="L486" s="11"/>
      <c r="M486" s="11"/>
    </row>
    <row r="487">
      <c r="K487" s="13"/>
      <c r="L487" s="11"/>
      <c r="M487" s="11"/>
    </row>
    <row r="488">
      <c r="K488" s="13"/>
      <c r="L488" s="11"/>
      <c r="M488" s="11"/>
    </row>
    <row r="489">
      <c r="K489" s="13"/>
      <c r="L489" s="11"/>
      <c r="M489" s="11"/>
    </row>
    <row r="490">
      <c r="K490" s="13"/>
      <c r="L490" s="11"/>
      <c r="M490" s="11"/>
    </row>
    <row r="491">
      <c r="K491" s="13"/>
      <c r="L491" s="11"/>
      <c r="M491" s="11"/>
    </row>
    <row r="492">
      <c r="K492" s="13"/>
      <c r="L492" s="11"/>
      <c r="M492" s="11"/>
    </row>
    <row r="493">
      <c r="K493" s="13"/>
      <c r="L493" s="11"/>
      <c r="M493" s="11"/>
    </row>
    <row r="494">
      <c r="K494" s="13"/>
      <c r="L494" s="11"/>
      <c r="M494" s="11"/>
    </row>
    <row r="495">
      <c r="K495" s="13"/>
      <c r="L495" s="11"/>
      <c r="M495" s="11"/>
    </row>
    <row r="496">
      <c r="K496" s="13"/>
      <c r="L496" s="11"/>
      <c r="M496" s="11"/>
    </row>
    <row r="497">
      <c r="K497" s="13"/>
      <c r="L497" s="11"/>
      <c r="M497" s="11"/>
    </row>
    <row r="498">
      <c r="K498" s="13"/>
      <c r="L498" s="11"/>
      <c r="M498" s="11"/>
    </row>
    <row r="499">
      <c r="K499" s="13"/>
      <c r="L499" s="11"/>
      <c r="M499" s="11"/>
    </row>
    <row r="500">
      <c r="K500" s="13"/>
      <c r="L500" s="11"/>
      <c r="M500" s="11"/>
    </row>
    <row r="501">
      <c r="K501" s="13"/>
      <c r="L501" s="11"/>
      <c r="M501" s="11"/>
    </row>
    <row r="502">
      <c r="K502" s="13"/>
      <c r="L502" s="11"/>
      <c r="M502" s="11"/>
    </row>
    <row r="503">
      <c r="K503" s="13"/>
      <c r="L503" s="11"/>
      <c r="M503" s="11"/>
    </row>
    <row r="504">
      <c r="K504" s="13"/>
      <c r="L504" s="11"/>
      <c r="M504" s="11"/>
    </row>
    <row r="505">
      <c r="K505" s="13"/>
      <c r="L505" s="11"/>
      <c r="M505" s="11"/>
    </row>
    <row r="506">
      <c r="K506" s="13"/>
      <c r="L506" s="11"/>
      <c r="M506" s="11"/>
    </row>
    <row r="507">
      <c r="K507" s="13"/>
      <c r="L507" s="11"/>
      <c r="M507" s="11"/>
    </row>
    <row r="508">
      <c r="K508" s="13"/>
      <c r="L508" s="11"/>
      <c r="M508" s="11"/>
    </row>
    <row r="509">
      <c r="K509" s="13"/>
      <c r="L509" s="11"/>
      <c r="M509" s="11"/>
    </row>
    <row r="510">
      <c r="K510" s="13"/>
      <c r="L510" s="11"/>
      <c r="M510" s="11"/>
    </row>
    <row r="511">
      <c r="K511" s="13"/>
      <c r="L511" s="11"/>
      <c r="M511" s="11"/>
    </row>
    <row r="512">
      <c r="K512" s="13"/>
      <c r="L512" s="11"/>
      <c r="M512" s="11"/>
    </row>
    <row r="513">
      <c r="K513" s="13"/>
      <c r="L513" s="11"/>
      <c r="M513" s="11"/>
    </row>
    <row r="514">
      <c r="K514" s="13"/>
      <c r="L514" s="11"/>
      <c r="M514" s="11"/>
    </row>
    <row r="515">
      <c r="K515" s="13"/>
      <c r="L515" s="11"/>
      <c r="M515" s="11"/>
    </row>
    <row r="516">
      <c r="K516" s="13"/>
      <c r="L516" s="11"/>
      <c r="M516" s="11"/>
    </row>
    <row r="517">
      <c r="K517" s="13"/>
      <c r="L517" s="11"/>
      <c r="M517" s="11"/>
    </row>
    <row r="518">
      <c r="K518" s="13"/>
      <c r="L518" s="11"/>
      <c r="M518" s="11"/>
    </row>
    <row r="519">
      <c r="K519" s="13"/>
      <c r="L519" s="11"/>
      <c r="M519" s="11"/>
    </row>
    <row r="520">
      <c r="K520" s="13"/>
      <c r="L520" s="11"/>
      <c r="M520" s="11"/>
    </row>
    <row r="521">
      <c r="K521" s="13"/>
      <c r="L521" s="11"/>
      <c r="M521" s="11"/>
    </row>
    <row r="522">
      <c r="K522" s="13"/>
      <c r="L522" s="11"/>
      <c r="M522" s="11"/>
    </row>
    <row r="523">
      <c r="K523" s="13"/>
      <c r="L523" s="11"/>
      <c r="M523" s="11"/>
    </row>
    <row r="524">
      <c r="K524" s="13"/>
      <c r="L524" s="11"/>
      <c r="M524" s="11"/>
    </row>
    <row r="525">
      <c r="K525" s="13"/>
      <c r="L525" s="11"/>
      <c r="M525" s="11"/>
    </row>
    <row r="526">
      <c r="K526" s="13"/>
      <c r="L526" s="11"/>
      <c r="M526" s="11"/>
    </row>
    <row r="527">
      <c r="K527" s="13"/>
      <c r="L527" s="11"/>
      <c r="M527" s="11"/>
    </row>
    <row r="528">
      <c r="K528" s="13"/>
      <c r="L528" s="11"/>
      <c r="M528" s="11"/>
    </row>
    <row r="529">
      <c r="K529" s="13"/>
      <c r="L529" s="11"/>
      <c r="M529" s="11"/>
    </row>
    <row r="530">
      <c r="K530" s="13"/>
      <c r="L530" s="11"/>
      <c r="M530" s="11"/>
    </row>
    <row r="531">
      <c r="K531" s="13"/>
      <c r="L531" s="11"/>
      <c r="M531" s="11"/>
    </row>
    <row r="532">
      <c r="K532" s="13"/>
      <c r="L532" s="11"/>
      <c r="M532" s="11"/>
    </row>
    <row r="533">
      <c r="K533" s="13"/>
      <c r="L533" s="11"/>
      <c r="M533" s="11"/>
    </row>
    <row r="534">
      <c r="K534" s="13"/>
      <c r="L534" s="11"/>
      <c r="M534" s="11"/>
    </row>
    <row r="535">
      <c r="K535" s="13"/>
      <c r="L535" s="11"/>
      <c r="M535" s="11"/>
    </row>
    <row r="536">
      <c r="K536" s="13"/>
      <c r="L536" s="11"/>
      <c r="M536" s="11"/>
    </row>
    <row r="537">
      <c r="K537" s="13"/>
      <c r="L537" s="11"/>
      <c r="M537" s="11"/>
    </row>
    <row r="538">
      <c r="K538" s="13"/>
      <c r="L538" s="11"/>
      <c r="M538" s="11"/>
    </row>
    <row r="539">
      <c r="K539" s="13"/>
      <c r="L539" s="11"/>
      <c r="M539" s="11"/>
    </row>
    <row r="540">
      <c r="K540" s="13"/>
      <c r="L540" s="11"/>
      <c r="M540" s="11"/>
    </row>
    <row r="541">
      <c r="K541" s="13"/>
      <c r="L541" s="11"/>
      <c r="M541" s="11"/>
    </row>
    <row r="542">
      <c r="K542" s="13"/>
      <c r="L542" s="11"/>
      <c r="M542" s="11"/>
    </row>
    <row r="543">
      <c r="K543" s="13"/>
      <c r="L543" s="11"/>
      <c r="M543" s="11"/>
    </row>
    <row r="544">
      <c r="K544" s="13"/>
      <c r="L544" s="11"/>
      <c r="M544" s="11"/>
    </row>
    <row r="545">
      <c r="K545" s="13"/>
      <c r="L545" s="11"/>
      <c r="M545" s="11"/>
    </row>
    <row r="546">
      <c r="K546" s="13"/>
      <c r="L546" s="11"/>
      <c r="M546" s="11"/>
    </row>
    <row r="547">
      <c r="K547" s="13"/>
      <c r="L547" s="11"/>
      <c r="M547" s="11"/>
    </row>
    <row r="548">
      <c r="K548" s="13"/>
      <c r="L548" s="11"/>
      <c r="M548" s="11"/>
    </row>
    <row r="549">
      <c r="K549" s="13"/>
      <c r="L549" s="11"/>
      <c r="M549" s="11"/>
    </row>
    <row r="550">
      <c r="K550" s="13"/>
      <c r="L550" s="11"/>
      <c r="M550" s="11"/>
    </row>
    <row r="551">
      <c r="K551" s="13"/>
      <c r="L551" s="11"/>
      <c r="M551" s="11"/>
    </row>
    <row r="552">
      <c r="K552" s="13"/>
      <c r="L552" s="11"/>
      <c r="M552" s="11"/>
    </row>
    <row r="553">
      <c r="K553" s="13"/>
      <c r="L553" s="11"/>
      <c r="M553" s="11"/>
    </row>
    <row r="554">
      <c r="K554" s="13"/>
      <c r="L554" s="11"/>
      <c r="M554" s="11"/>
    </row>
    <row r="555">
      <c r="K555" s="13"/>
      <c r="L555" s="11"/>
      <c r="M555" s="11"/>
    </row>
    <row r="556">
      <c r="K556" s="13"/>
      <c r="L556" s="11"/>
      <c r="M556" s="11"/>
    </row>
    <row r="557">
      <c r="K557" s="13"/>
      <c r="L557" s="11"/>
      <c r="M557" s="11"/>
    </row>
    <row r="558">
      <c r="K558" s="13"/>
      <c r="L558" s="11"/>
      <c r="M558" s="11"/>
    </row>
    <row r="559">
      <c r="K559" s="13"/>
      <c r="L559" s="11"/>
      <c r="M559" s="11"/>
    </row>
    <row r="560">
      <c r="K560" s="13"/>
      <c r="L560" s="11"/>
      <c r="M560" s="11"/>
    </row>
    <row r="561">
      <c r="K561" s="13"/>
      <c r="L561" s="11"/>
      <c r="M561" s="11"/>
    </row>
    <row r="562">
      <c r="K562" s="13"/>
      <c r="L562" s="11"/>
      <c r="M562" s="11"/>
    </row>
    <row r="563">
      <c r="K563" s="13"/>
      <c r="L563" s="11"/>
      <c r="M563" s="11"/>
    </row>
    <row r="564">
      <c r="K564" s="13"/>
      <c r="L564" s="11"/>
      <c r="M564" s="11"/>
    </row>
    <row r="565">
      <c r="K565" s="13"/>
      <c r="L565" s="11"/>
      <c r="M565" s="11"/>
    </row>
    <row r="566">
      <c r="K566" s="13"/>
      <c r="L566" s="11"/>
      <c r="M566" s="11"/>
    </row>
    <row r="567">
      <c r="K567" s="13"/>
      <c r="L567" s="11"/>
      <c r="M567" s="11"/>
    </row>
    <row r="568">
      <c r="K568" s="13"/>
      <c r="L568" s="11"/>
      <c r="M568" s="11"/>
    </row>
    <row r="569">
      <c r="K569" s="13"/>
      <c r="L569" s="11"/>
      <c r="M569" s="11"/>
    </row>
    <row r="570">
      <c r="K570" s="13"/>
      <c r="L570" s="11"/>
      <c r="M570" s="11"/>
    </row>
    <row r="571">
      <c r="K571" s="13"/>
      <c r="L571" s="11"/>
      <c r="M571" s="11"/>
    </row>
    <row r="572">
      <c r="K572" s="13"/>
      <c r="L572" s="11"/>
      <c r="M572" s="11"/>
    </row>
    <row r="573">
      <c r="K573" s="13"/>
      <c r="L573" s="11"/>
      <c r="M573" s="11"/>
    </row>
    <row r="574">
      <c r="K574" s="13"/>
      <c r="L574" s="11"/>
      <c r="M574" s="11"/>
    </row>
    <row r="575">
      <c r="K575" s="13"/>
      <c r="L575" s="11"/>
      <c r="M575" s="11"/>
    </row>
    <row r="576">
      <c r="K576" s="13"/>
      <c r="L576" s="11"/>
      <c r="M576" s="11"/>
    </row>
    <row r="577">
      <c r="K577" s="13"/>
      <c r="L577" s="11"/>
      <c r="M577" s="11"/>
    </row>
    <row r="578">
      <c r="K578" s="13"/>
      <c r="L578" s="11"/>
      <c r="M578" s="11"/>
    </row>
    <row r="579">
      <c r="K579" s="13"/>
      <c r="L579" s="11"/>
      <c r="M579" s="11"/>
    </row>
    <row r="580">
      <c r="K580" s="13"/>
      <c r="L580" s="11"/>
      <c r="M580" s="11"/>
    </row>
    <row r="581">
      <c r="K581" s="13"/>
      <c r="L581" s="11"/>
      <c r="M581" s="11"/>
    </row>
    <row r="582">
      <c r="K582" s="13"/>
      <c r="L582" s="11"/>
      <c r="M582" s="11"/>
    </row>
    <row r="583">
      <c r="K583" s="13"/>
      <c r="L583" s="11"/>
      <c r="M583" s="11"/>
    </row>
    <row r="584">
      <c r="K584" s="13"/>
      <c r="L584" s="11"/>
      <c r="M584" s="11"/>
    </row>
    <row r="585">
      <c r="K585" s="13"/>
      <c r="L585" s="11"/>
      <c r="M585" s="11"/>
    </row>
    <row r="586">
      <c r="K586" s="13"/>
      <c r="L586" s="11"/>
      <c r="M586" s="11"/>
    </row>
    <row r="587">
      <c r="K587" s="13"/>
      <c r="L587" s="11"/>
      <c r="M587" s="11"/>
    </row>
    <row r="588">
      <c r="K588" s="13"/>
      <c r="L588" s="11"/>
      <c r="M588" s="11"/>
    </row>
    <row r="589">
      <c r="K589" s="13"/>
      <c r="L589" s="11"/>
      <c r="M589" s="11"/>
    </row>
    <row r="590">
      <c r="K590" s="13"/>
      <c r="L590" s="11"/>
      <c r="M590" s="11"/>
    </row>
    <row r="591">
      <c r="K591" s="13"/>
      <c r="L591" s="11"/>
      <c r="M591" s="11"/>
    </row>
    <row r="592">
      <c r="K592" s="13"/>
      <c r="L592" s="11"/>
      <c r="M592" s="11"/>
    </row>
    <row r="593">
      <c r="K593" s="13"/>
      <c r="L593" s="11"/>
      <c r="M593" s="11"/>
    </row>
    <row r="594">
      <c r="K594" s="13"/>
      <c r="L594" s="11"/>
      <c r="M594" s="11"/>
    </row>
    <row r="595">
      <c r="K595" s="13"/>
      <c r="L595" s="11"/>
      <c r="M595" s="11"/>
    </row>
    <row r="596">
      <c r="K596" s="13"/>
      <c r="L596" s="11"/>
      <c r="M596" s="11"/>
    </row>
    <row r="597">
      <c r="K597" s="13"/>
      <c r="L597" s="11"/>
      <c r="M597" s="11"/>
    </row>
    <row r="598">
      <c r="K598" s="13"/>
      <c r="L598" s="11"/>
      <c r="M598" s="11"/>
    </row>
    <row r="599">
      <c r="K599" s="13"/>
      <c r="L599" s="11"/>
      <c r="M599" s="11"/>
    </row>
    <row r="600">
      <c r="K600" s="13"/>
      <c r="L600" s="11"/>
      <c r="M600" s="11"/>
    </row>
    <row r="601">
      <c r="K601" s="13"/>
      <c r="L601" s="11"/>
      <c r="M601" s="11"/>
    </row>
    <row r="602">
      <c r="K602" s="13"/>
      <c r="L602" s="11"/>
      <c r="M602" s="11"/>
    </row>
    <row r="603">
      <c r="K603" s="13"/>
      <c r="L603" s="11"/>
      <c r="M603" s="11"/>
    </row>
    <row r="604">
      <c r="K604" s="13"/>
      <c r="L604" s="11"/>
      <c r="M604" s="11"/>
    </row>
    <row r="605">
      <c r="K605" s="13"/>
      <c r="L605" s="11"/>
      <c r="M605" s="11"/>
    </row>
    <row r="606">
      <c r="K606" s="13"/>
      <c r="L606" s="11"/>
      <c r="M606" s="11"/>
    </row>
    <row r="607">
      <c r="K607" s="13"/>
      <c r="L607" s="11"/>
      <c r="M607" s="11"/>
    </row>
    <row r="608">
      <c r="K608" s="13"/>
      <c r="L608" s="11"/>
      <c r="M608" s="11"/>
    </row>
    <row r="609">
      <c r="K609" s="13"/>
      <c r="L609" s="11"/>
      <c r="M609" s="11"/>
    </row>
    <row r="610">
      <c r="K610" s="13"/>
      <c r="L610" s="11"/>
      <c r="M610" s="11"/>
    </row>
    <row r="611">
      <c r="K611" s="13"/>
      <c r="L611" s="11"/>
      <c r="M611" s="11"/>
    </row>
    <row r="612">
      <c r="K612" s="13"/>
      <c r="L612" s="11"/>
      <c r="M612" s="11"/>
    </row>
    <row r="613">
      <c r="K613" s="13"/>
      <c r="L613" s="11"/>
      <c r="M613" s="11"/>
    </row>
    <row r="614">
      <c r="K614" s="13"/>
      <c r="L614" s="11"/>
      <c r="M614" s="11"/>
    </row>
    <row r="615">
      <c r="K615" s="13"/>
      <c r="L615" s="11"/>
      <c r="M615" s="11"/>
    </row>
    <row r="616">
      <c r="K616" s="13"/>
      <c r="L616" s="11"/>
      <c r="M616" s="11"/>
    </row>
    <row r="617">
      <c r="K617" s="13"/>
      <c r="L617" s="11"/>
      <c r="M617" s="11"/>
    </row>
    <row r="618">
      <c r="K618" s="13"/>
      <c r="L618" s="11"/>
      <c r="M618" s="11"/>
    </row>
    <row r="619">
      <c r="K619" s="13"/>
      <c r="L619" s="11"/>
      <c r="M619" s="11"/>
    </row>
    <row r="620">
      <c r="K620" s="13"/>
      <c r="L620" s="11"/>
      <c r="M620" s="11"/>
    </row>
    <row r="621">
      <c r="K621" s="13"/>
      <c r="L621" s="11"/>
      <c r="M621" s="11"/>
    </row>
    <row r="622">
      <c r="K622" s="13"/>
      <c r="L622" s="11"/>
      <c r="M622" s="11"/>
    </row>
    <row r="623">
      <c r="K623" s="13"/>
      <c r="L623" s="11"/>
      <c r="M623" s="11"/>
    </row>
    <row r="624">
      <c r="K624" s="13"/>
      <c r="L624" s="11"/>
      <c r="M624" s="11"/>
    </row>
    <row r="625">
      <c r="K625" s="13"/>
      <c r="L625" s="11"/>
      <c r="M625" s="11"/>
    </row>
    <row r="626">
      <c r="K626" s="13"/>
      <c r="L626" s="11"/>
      <c r="M626" s="11"/>
    </row>
    <row r="627">
      <c r="K627" s="13"/>
      <c r="L627" s="11"/>
      <c r="M627" s="11"/>
    </row>
    <row r="628">
      <c r="K628" s="13"/>
      <c r="L628" s="11"/>
      <c r="M628" s="11"/>
    </row>
    <row r="629">
      <c r="K629" s="13"/>
      <c r="L629" s="11"/>
      <c r="M629" s="11"/>
    </row>
    <row r="630">
      <c r="K630" s="13"/>
      <c r="L630" s="11"/>
      <c r="M630" s="11"/>
    </row>
    <row r="631">
      <c r="K631" s="13"/>
      <c r="L631" s="11"/>
      <c r="M631" s="11"/>
    </row>
    <row r="632">
      <c r="K632" s="13"/>
      <c r="L632" s="11"/>
      <c r="M632" s="11"/>
    </row>
    <row r="633">
      <c r="K633" s="13"/>
      <c r="L633" s="11"/>
      <c r="M633" s="11"/>
    </row>
    <row r="634">
      <c r="K634" s="13"/>
      <c r="L634" s="11"/>
      <c r="M634" s="11"/>
    </row>
    <row r="635">
      <c r="K635" s="13"/>
      <c r="L635" s="11"/>
      <c r="M635" s="11"/>
    </row>
    <row r="636">
      <c r="K636" s="13"/>
      <c r="L636" s="11"/>
      <c r="M636" s="11"/>
    </row>
    <row r="637">
      <c r="K637" s="13"/>
      <c r="L637" s="11"/>
      <c r="M637" s="11"/>
    </row>
    <row r="638">
      <c r="K638" s="13"/>
      <c r="L638" s="11"/>
      <c r="M638" s="11"/>
    </row>
    <row r="639">
      <c r="K639" s="13"/>
      <c r="L639" s="11"/>
      <c r="M639" s="11"/>
    </row>
    <row r="640">
      <c r="K640" s="13"/>
      <c r="L640" s="11"/>
      <c r="M640" s="11"/>
    </row>
    <row r="641">
      <c r="K641" s="13"/>
      <c r="L641" s="11"/>
      <c r="M641" s="11"/>
    </row>
    <row r="642">
      <c r="K642" s="13"/>
      <c r="L642" s="11"/>
      <c r="M642" s="11"/>
    </row>
    <row r="643">
      <c r="K643" s="13"/>
      <c r="L643" s="11"/>
      <c r="M643" s="11"/>
    </row>
    <row r="644">
      <c r="K644" s="13"/>
      <c r="L644" s="11"/>
      <c r="M644" s="11"/>
    </row>
    <row r="645">
      <c r="K645" s="13"/>
      <c r="L645" s="11"/>
      <c r="M645" s="11"/>
    </row>
    <row r="646">
      <c r="K646" s="13"/>
      <c r="L646" s="11"/>
      <c r="M646" s="11"/>
    </row>
    <row r="647">
      <c r="K647" s="13"/>
      <c r="L647" s="11"/>
      <c r="M647" s="11"/>
    </row>
    <row r="648">
      <c r="K648" s="13"/>
      <c r="L648" s="11"/>
      <c r="M648" s="11"/>
    </row>
    <row r="649">
      <c r="K649" s="13"/>
      <c r="L649" s="11"/>
      <c r="M649" s="11"/>
    </row>
    <row r="650">
      <c r="K650" s="13"/>
      <c r="L650" s="11"/>
      <c r="M650" s="11"/>
    </row>
    <row r="651">
      <c r="K651" s="13"/>
      <c r="L651" s="11"/>
      <c r="M651" s="11"/>
    </row>
    <row r="652">
      <c r="K652" s="13"/>
      <c r="L652" s="11"/>
      <c r="M652" s="11"/>
    </row>
    <row r="653">
      <c r="K653" s="13"/>
      <c r="L653" s="11"/>
      <c r="M653" s="11"/>
    </row>
    <row r="654">
      <c r="K654" s="13"/>
      <c r="L654" s="11"/>
      <c r="M654" s="11"/>
    </row>
    <row r="655">
      <c r="K655" s="13"/>
      <c r="L655" s="11"/>
      <c r="M655" s="11"/>
    </row>
    <row r="656">
      <c r="K656" s="13"/>
      <c r="L656" s="11"/>
      <c r="M656" s="11"/>
    </row>
    <row r="657">
      <c r="K657" s="13"/>
      <c r="L657" s="11"/>
      <c r="M657" s="11"/>
    </row>
    <row r="658">
      <c r="K658" s="13"/>
      <c r="L658" s="11"/>
      <c r="M658" s="11"/>
    </row>
    <row r="659">
      <c r="K659" s="13"/>
      <c r="L659" s="11"/>
      <c r="M659" s="11"/>
    </row>
    <row r="660">
      <c r="K660" s="13"/>
      <c r="L660" s="11"/>
      <c r="M660" s="11"/>
    </row>
    <row r="661">
      <c r="K661" s="13"/>
      <c r="L661" s="11"/>
      <c r="M661" s="11"/>
    </row>
    <row r="662">
      <c r="K662" s="13"/>
      <c r="L662" s="11"/>
      <c r="M662" s="11"/>
    </row>
    <row r="663">
      <c r="K663" s="13"/>
      <c r="L663" s="11"/>
      <c r="M663" s="11"/>
    </row>
    <row r="664">
      <c r="K664" s="13"/>
      <c r="L664" s="11"/>
      <c r="M664" s="11"/>
    </row>
    <row r="665">
      <c r="K665" s="13"/>
      <c r="L665" s="11"/>
      <c r="M665" s="11"/>
    </row>
    <row r="666">
      <c r="K666" s="13"/>
      <c r="L666" s="11"/>
      <c r="M666" s="11"/>
    </row>
    <row r="667">
      <c r="K667" s="13"/>
      <c r="L667" s="11"/>
      <c r="M667" s="11"/>
    </row>
    <row r="668">
      <c r="K668" s="13"/>
      <c r="L668" s="11"/>
      <c r="M668" s="11"/>
    </row>
    <row r="669">
      <c r="K669" s="13"/>
      <c r="L669" s="11"/>
      <c r="M669" s="11"/>
    </row>
    <row r="670">
      <c r="K670" s="13"/>
      <c r="L670" s="11"/>
      <c r="M670" s="11"/>
    </row>
    <row r="671">
      <c r="K671" s="13"/>
      <c r="L671" s="11"/>
      <c r="M671" s="11"/>
    </row>
    <row r="672">
      <c r="K672" s="13"/>
      <c r="L672" s="11"/>
      <c r="M672" s="11"/>
    </row>
    <row r="673">
      <c r="K673" s="13"/>
      <c r="L673" s="11"/>
      <c r="M673" s="11"/>
    </row>
    <row r="674">
      <c r="K674" s="13"/>
      <c r="L674" s="11"/>
      <c r="M674" s="11"/>
    </row>
    <row r="675">
      <c r="K675" s="13"/>
      <c r="L675" s="11"/>
      <c r="M675" s="11"/>
    </row>
    <row r="676">
      <c r="K676" s="13"/>
      <c r="L676" s="11"/>
      <c r="M676" s="11"/>
    </row>
    <row r="677">
      <c r="K677" s="13"/>
      <c r="L677" s="11"/>
      <c r="M677" s="11"/>
    </row>
    <row r="678">
      <c r="K678" s="13"/>
      <c r="L678" s="11"/>
      <c r="M678" s="11"/>
    </row>
    <row r="679">
      <c r="K679" s="13"/>
      <c r="L679" s="11"/>
      <c r="M679" s="11"/>
    </row>
    <row r="680">
      <c r="K680" s="13"/>
      <c r="L680" s="11"/>
      <c r="M680" s="11"/>
    </row>
    <row r="681">
      <c r="K681" s="13"/>
      <c r="L681" s="11"/>
      <c r="M681" s="11"/>
    </row>
    <row r="682">
      <c r="K682" s="13"/>
      <c r="L682" s="11"/>
      <c r="M682" s="11"/>
    </row>
    <row r="683">
      <c r="K683" s="13"/>
      <c r="L683" s="11"/>
      <c r="M683" s="11"/>
    </row>
    <row r="684">
      <c r="K684" s="13"/>
      <c r="L684" s="11"/>
      <c r="M684" s="11"/>
    </row>
    <row r="685">
      <c r="K685" s="13"/>
      <c r="L685" s="11"/>
      <c r="M685" s="11"/>
    </row>
    <row r="686">
      <c r="K686" s="13"/>
      <c r="L686" s="11"/>
      <c r="M686" s="11"/>
    </row>
    <row r="687">
      <c r="K687" s="13"/>
      <c r="L687" s="11"/>
      <c r="M687" s="11"/>
    </row>
    <row r="688">
      <c r="K688" s="13"/>
      <c r="L688" s="11"/>
      <c r="M688" s="11"/>
    </row>
    <row r="689">
      <c r="K689" s="13"/>
      <c r="L689" s="11"/>
      <c r="M689" s="11"/>
    </row>
    <row r="690">
      <c r="K690" s="13"/>
      <c r="L690" s="11"/>
      <c r="M690" s="11"/>
    </row>
    <row r="691">
      <c r="K691" s="13"/>
      <c r="L691" s="11"/>
      <c r="M691" s="11"/>
    </row>
    <row r="692">
      <c r="K692" s="13"/>
      <c r="L692" s="11"/>
      <c r="M692" s="11"/>
    </row>
    <row r="693">
      <c r="K693" s="13"/>
      <c r="L693" s="11"/>
      <c r="M693" s="11"/>
    </row>
    <row r="694">
      <c r="K694" s="13"/>
      <c r="L694" s="11"/>
      <c r="M694" s="11"/>
    </row>
    <row r="695">
      <c r="K695" s="13"/>
      <c r="L695" s="11"/>
      <c r="M695" s="11"/>
    </row>
    <row r="696">
      <c r="K696" s="13"/>
      <c r="L696" s="11"/>
      <c r="M696" s="11"/>
    </row>
    <row r="697">
      <c r="K697" s="13"/>
      <c r="L697" s="11"/>
      <c r="M697" s="11"/>
    </row>
    <row r="698">
      <c r="K698" s="13"/>
      <c r="L698" s="11"/>
      <c r="M698" s="11"/>
    </row>
    <row r="699">
      <c r="K699" s="13"/>
      <c r="L699" s="11"/>
      <c r="M699" s="11"/>
    </row>
    <row r="700">
      <c r="K700" s="13"/>
      <c r="L700" s="11"/>
      <c r="M700" s="11"/>
    </row>
    <row r="701">
      <c r="K701" s="13"/>
      <c r="L701" s="11"/>
      <c r="M701" s="11"/>
    </row>
    <row r="702">
      <c r="K702" s="13"/>
      <c r="L702" s="11"/>
      <c r="M702" s="11"/>
    </row>
    <row r="703">
      <c r="K703" s="13"/>
      <c r="L703" s="11"/>
      <c r="M703" s="11"/>
    </row>
    <row r="704">
      <c r="K704" s="13"/>
      <c r="L704" s="11"/>
      <c r="M704" s="11"/>
    </row>
    <row r="705">
      <c r="K705" s="13"/>
      <c r="L705" s="11"/>
      <c r="M705" s="11"/>
    </row>
    <row r="706">
      <c r="K706" s="13"/>
      <c r="L706" s="11"/>
      <c r="M706" s="11"/>
    </row>
    <row r="707">
      <c r="K707" s="13"/>
      <c r="L707" s="11"/>
      <c r="M707" s="11"/>
    </row>
    <row r="708">
      <c r="K708" s="13"/>
      <c r="L708" s="11"/>
      <c r="M708" s="11"/>
    </row>
    <row r="709">
      <c r="K709" s="13"/>
      <c r="L709" s="11"/>
      <c r="M709" s="11"/>
    </row>
    <row r="710">
      <c r="K710" s="13"/>
      <c r="L710" s="11"/>
      <c r="M710" s="11"/>
    </row>
    <row r="711">
      <c r="K711" s="13"/>
      <c r="L711" s="11"/>
      <c r="M711" s="11"/>
    </row>
    <row r="712">
      <c r="K712" s="13"/>
      <c r="L712" s="11"/>
      <c r="M712" s="11"/>
    </row>
    <row r="713">
      <c r="K713" s="13"/>
      <c r="L713" s="11"/>
      <c r="M713" s="11"/>
    </row>
    <row r="714">
      <c r="K714" s="13"/>
      <c r="L714" s="11"/>
      <c r="M714" s="11"/>
    </row>
    <row r="715">
      <c r="K715" s="13"/>
      <c r="L715" s="11"/>
      <c r="M715" s="11"/>
    </row>
    <row r="716">
      <c r="K716" s="13"/>
      <c r="L716" s="11"/>
      <c r="M716" s="11"/>
    </row>
    <row r="717">
      <c r="K717" s="13"/>
      <c r="L717" s="11"/>
      <c r="M717" s="11"/>
    </row>
    <row r="718">
      <c r="K718" s="13"/>
      <c r="L718" s="11"/>
      <c r="M718" s="11"/>
    </row>
    <row r="719">
      <c r="K719" s="13"/>
      <c r="L719" s="11"/>
      <c r="M719" s="11"/>
    </row>
    <row r="720">
      <c r="K720" s="13"/>
      <c r="L720" s="11"/>
      <c r="M720" s="11"/>
    </row>
    <row r="721">
      <c r="K721" s="13"/>
      <c r="L721" s="11"/>
      <c r="M721" s="11"/>
    </row>
    <row r="722">
      <c r="K722" s="13"/>
      <c r="L722" s="11"/>
      <c r="M722" s="11"/>
    </row>
    <row r="723">
      <c r="K723" s="13"/>
      <c r="L723" s="11"/>
      <c r="M723" s="11"/>
    </row>
    <row r="724">
      <c r="K724" s="13"/>
      <c r="L724" s="11"/>
      <c r="M724" s="11"/>
    </row>
    <row r="725">
      <c r="K725" s="13"/>
      <c r="L725" s="11"/>
      <c r="M725" s="11"/>
    </row>
    <row r="726">
      <c r="K726" s="13"/>
      <c r="L726" s="11"/>
      <c r="M726" s="11"/>
    </row>
    <row r="727">
      <c r="K727" s="13"/>
      <c r="L727" s="11"/>
      <c r="M727" s="11"/>
    </row>
    <row r="728">
      <c r="K728" s="13"/>
      <c r="L728" s="11"/>
      <c r="M728" s="11"/>
    </row>
    <row r="729">
      <c r="K729" s="13"/>
      <c r="L729" s="11"/>
      <c r="M729" s="11"/>
    </row>
    <row r="730">
      <c r="K730" s="13"/>
      <c r="L730" s="11"/>
      <c r="M730" s="11"/>
    </row>
    <row r="731">
      <c r="K731" s="13"/>
      <c r="L731" s="11"/>
      <c r="M731" s="11"/>
    </row>
    <row r="732">
      <c r="K732" s="13"/>
      <c r="L732" s="11"/>
      <c r="M732" s="11"/>
    </row>
    <row r="733">
      <c r="K733" s="13"/>
      <c r="L733" s="11"/>
      <c r="M733" s="11"/>
    </row>
    <row r="734">
      <c r="K734" s="13"/>
      <c r="L734" s="11"/>
      <c r="M734" s="11"/>
    </row>
    <row r="735">
      <c r="K735" s="13"/>
      <c r="L735" s="11"/>
      <c r="M735" s="11"/>
    </row>
    <row r="736">
      <c r="K736" s="13"/>
      <c r="L736" s="11"/>
      <c r="M736" s="11"/>
    </row>
    <row r="737">
      <c r="K737" s="13"/>
      <c r="L737" s="11"/>
      <c r="M737" s="11"/>
    </row>
    <row r="738">
      <c r="K738" s="13"/>
      <c r="L738" s="11"/>
      <c r="M738" s="11"/>
    </row>
    <row r="739">
      <c r="K739" s="13"/>
      <c r="L739" s="11"/>
      <c r="M739" s="11"/>
    </row>
    <row r="740">
      <c r="K740" s="13"/>
      <c r="L740" s="11"/>
      <c r="M740" s="11"/>
    </row>
    <row r="741">
      <c r="K741" s="13"/>
      <c r="L741" s="11"/>
      <c r="M741" s="11"/>
    </row>
    <row r="742">
      <c r="K742" s="13"/>
      <c r="L742" s="11"/>
      <c r="M742" s="11"/>
    </row>
    <row r="743">
      <c r="K743" s="13"/>
      <c r="L743" s="11"/>
      <c r="M743" s="11"/>
    </row>
    <row r="744">
      <c r="K744" s="13"/>
      <c r="L744" s="11"/>
      <c r="M744" s="11"/>
    </row>
    <row r="745">
      <c r="K745" s="13"/>
      <c r="L745" s="11"/>
      <c r="M745" s="11"/>
    </row>
    <row r="746">
      <c r="K746" s="13"/>
      <c r="L746" s="11"/>
      <c r="M746" s="11"/>
    </row>
    <row r="747">
      <c r="K747" s="13"/>
      <c r="L747" s="11"/>
      <c r="M747" s="11"/>
    </row>
    <row r="748">
      <c r="K748" s="13"/>
      <c r="L748" s="11"/>
      <c r="M748" s="11"/>
    </row>
    <row r="749">
      <c r="K749" s="13"/>
      <c r="L749" s="11"/>
      <c r="M749" s="11"/>
    </row>
    <row r="750">
      <c r="K750" s="13"/>
      <c r="L750" s="11"/>
      <c r="M750" s="11"/>
    </row>
    <row r="751">
      <c r="K751" s="13"/>
      <c r="L751" s="11"/>
      <c r="M751" s="11"/>
    </row>
    <row r="752">
      <c r="K752" s="13"/>
      <c r="L752" s="11"/>
      <c r="M752" s="11"/>
    </row>
    <row r="753">
      <c r="K753" s="13"/>
      <c r="L753" s="11"/>
      <c r="M753" s="11"/>
    </row>
    <row r="754">
      <c r="K754" s="13"/>
      <c r="L754" s="11"/>
      <c r="M754" s="11"/>
    </row>
    <row r="755">
      <c r="K755" s="13"/>
      <c r="L755" s="11"/>
      <c r="M755" s="11"/>
    </row>
    <row r="756">
      <c r="K756" s="13"/>
      <c r="L756" s="11"/>
      <c r="M756" s="11"/>
    </row>
    <row r="757">
      <c r="K757" s="13"/>
      <c r="L757" s="11"/>
      <c r="M757" s="11"/>
    </row>
    <row r="758">
      <c r="K758" s="13"/>
      <c r="L758" s="11"/>
      <c r="M758" s="11"/>
    </row>
    <row r="759">
      <c r="K759" s="13"/>
      <c r="L759" s="11"/>
      <c r="M759" s="11"/>
    </row>
    <row r="760">
      <c r="K760" s="13"/>
      <c r="L760" s="11"/>
      <c r="M760" s="11"/>
    </row>
    <row r="761">
      <c r="K761" s="13"/>
      <c r="L761" s="11"/>
      <c r="M761" s="11"/>
    </row>
    <row r="762">
      <c r="K762" s="13"/>
      <c r="L762" s="11"/>
      <c r="M762" s="11"/>
    </row>
    <row r="763">
      <c r="K763" s="13"/>
      <c r="L763" s="11"/>
      <c r="M763" s="11"/>
    </row>
    <row r="764">
      <c r="K764" s="13"/>
      <c r="L764" s="11"/>
      <c r="M764" s="11"/>
    </row>
    <row r="765">
      <c r="K765" s="13"/>
      <c r="L765" s="11"/>
      <c r="M765" s="11"/>
    </row>
    <row r="766">
      <c r="K766" s="13"/>
      <c r="L766" s="11"/>
      <c r="M766" s="11"/>
    </row>
    <row r="767">
      <c r="K767" s="13"/>
      <c r="L767" s="11"/>
      <c r="M767" s="11"/>
    </row>
    <row r="768">
      <c r="K768" s="13"/>
      <c r="L768" s="11"/>
      <c r="M768" s="11"/>
    </row>
    <row r="769">
      <c r="K769" s="13"/>
      <c r="L769" s="11"/>
      <c r="M769" s="11"/>
    </row>
    <row r="770">
      <c r="K770" s="13"/>
      <c r="L770" s="11"/>
      <c r="M770" s="11"/>
    </row>
    <row r="771">
      <c r="K771" s="13"/>
      <c r="L771" s="11"/>
      <c r="M771" s="11"/>
    </row>
    <row r="772">
      <c r="K772" s="13"/>
      <c r="L772" s="11"/>
      <c r="M772" s="11"/>
    </row>
    <row r="773">
      <c r="K773" s="13"/>
      <c r="L773" s="11"/>
      <c r="M773" s="11"/>
    </row>
    <row r="774">
      <c r="K774" s="13"/>
      <c r="L774" s="11"/>
      <c r="M774" s="11"/>
    </row>
    <row r="775">
      <c r="K775" s="13"/>
      <c r="L775" s="11"/>
      <c r="M775" s="11"/>
    </row>
    <row r="776">
      <c r="K776" s="13"/>
      <c r="L776" s="11"/>
      <c r="M776" s="11"/>
    </row>
    <row r="777">
      <c r="K777" s="13"/>
      <c r="L777" s="11"/>
      <c r="M777" s="11"/>
    </row>
    <row r="778">
      <c r="K778" s="13"/>
      <c r="L778" s="11"/>
      <c r="M778" s="11"/>
    </row>
    <row r="779">
      <c r="K779" s="13"/>
      <c r="L779" s="11"/>
      <c r="M779" s="11"/>
    </row>
    <row r="780">
      <c r="K780" s="13"/>
      <c r="L780" s="11"/>
      <c r="M780" s="11"/>
    </row>
    <row r="781">
      <c r="K781" s="13"/>
      <c r="L781" s="11"/>
      <c r="M781" s="11"/>
    </row>
    <row r="782">
      <c r="K782" s="13"/>
      <c r="L782" s="11"/>
      <c r="M782" s="11"/>
    </row>
    <row r="783">
      <c r="K783" s="13"/>
      <c r="L783" s="11"/>
      <c r="M783" s="11"/>
    </row>
    <row r="784">
      <c r="K784" s="13"/>
      <c r="L784" s="11"/>
      <c r="M784" s="11"/>
    </row>
    <row r="785">
      <c r="K785" s="13"/>
      <c r="L785" s="11"/>
      <c r="M785" s="11"/>
    </row>
    <row r="786">
      <c r="K786" s="13"/>
      <c r="L786" s="11"/>
      <c r="M786" s="11"/>
    </row>
    <row r="787">
      <c r="K787" s="13"/>
      <c r="L787" s="11"/>
      <c r="M787" s="11"/>
    </row>
    <row r="788">
      <c r="K788" s="13"/>
      <c r="L788" s="11"/>
      <c r="M788" s="11"/>
    </row>
    <row r="789">
      <c r="K789" s="13"/>
      <c r="L789" s="11"/>
      <c r="M789" s="11"/>
    </row>
    <row r="790">
      <c r="K790" s="13"/>
      <c r="L790" s="11"/>
      <c r="M790" s="11"/>
    </row>
    <row r="791">
      <c r="K791" s="13"/>
      <c r="L791" s="11"/>
      <c r="M791" s="11"/>
    </row>
    <row r="792">
      <c r="K792" s="13"/>
      <c r="L792" s="11"/>
      <c r="M792" s="11"/>
    </row>
    <row r="793">
      <c r="K793" s="13"/>
      <c r="L793" s="11"/>
      <c r="M793" s="11"/>
    </row>
    <row r="794">
      <c r="K794" s="13"/>
      <c r="L794" s="11"/>
      <c r="M794" s="11"/>
    </row>
    <row r="795">
      <c r="K795" s="13"/>
      <c r="L795" s="11"/>
      <c r="M795" s="11"/>
    </row>
    <row r="796">
      <c r="K796" s="13"/>
      <c r="L796" s="11"/>
      <c r="M796" s="11"/>
    </row>
    <row r="797">
      <c r="K797" s="13"/>
      <c r="L797" s="11"/>
      <c r="M797" s="11"/>
    </row>
    <row r="798">
      <c r="K798" s="13"/>
      <c r="L798" s="11"/>
      <c r="M798" s="11"/>
    </row>
    <row r="799">
      <c r="K799" s="13"/>
      <c r="L799" s="11"/>
      <c r="M799" s="11"/>
    </row>
    <row r="800">
      <c r="K800" s="13"/>
      <c r="L800" s="11"/>
      <c r="M800" s="11"/>
    </row>
    <row r="801">
      <c r="K801" s="13"/>
      <c r="L801" s="11"/>
      <c r="M801" s="11"/>
    </row>
    <row r="802">
      <c r="K802" s="13"/>
      <c r="L802" s="11"/>
      <c r="M802" s="11"/>
    </row>
    <row r="803">
      <c r="K803" s="13"/>
      <c r="L803" s="11"/>
      <c r="M803" s="11"/>
    </row>
    <row r="804">
      <c r="K804" s="13"/>
      <c r="L804" s="11"/>
      <c r="M804" s="11"/>
    </row>
    <row r="805">
      <c r="K805" s="13"/>
      <c r="L805" s="11"/>
      <c r="M805" s="11"/>
    </row>
    <row r="806">
      <c r="K806" s="13"/>
      <c r="L806" s="11"/>
      <c r="M806" s="11"/>
    </row>
    <row r="807">
      <c r="K807" s="13"/>
      <c r="L807" s="11"/>
      <c r="M807" s="11"/>
    </row>
    <row r="808">
      <c r="K808" s="13"/>
      <c r="L808" s="11"/>
      <c r="M808" s="11"/>
    </row>
    <row r="809">
      <c r="K809" s="13"/>
      <c r="L809" s="11"/>
      <c r="M809" s="11"/>
    </row>
    <row r="810">
      <c r="K810" s="13"/>
      <c r="L810" s="11"/>
      <c r="M810" s="11"/>
    </row>
    <row r="811">
      <c r="K811" s="13"/>
      <c r="L811" s="11"/>
      <c r="M811" s="11"/>
    </row>
    <row r="812">
      <c r="K812" s="13"/>
      <c r="L812" s="11"/>
      <c r="M812" s="11"/>
    </row>
    <row r="813">
      <c r="K813" s="13"/>
      <c r="L813" s="11"/>
      <c r="M813" s="11"/>
    </row>
    <row r="814">
      <c r="K814" s="13"/>
      <c r="L814" s="11"/>
      <c r="M814" s="11"/>
    </row>
    <row r="815">
      <c r="K815" s="13"/>
      <c r="L815" s="11"/>
      <c r="M815" s="11"/>
    </row>
    <row r="816">
      <c r="K816" s="13"/>
      <c r="L816" s="11"/>
      <c r="M816" s="11"/>
    </row>
    <row r="817">
      <c r="K817" s="13"/>
      <c r="L817" s="11"/>
      <c r="M817" s="11"/>
    </row>
    <row r="818">
      <c r="K818" s="13"/>
      <c r="L818" s="11"/>
      <c r="M818" s="11"/>
    </row>
    <row r="819">
      <c r="K819" s="13"/>
      <c r="L819" s="11"/>
      <c r="M819" s="11"/>
    </row>
    <row r="820">
      <c r="K820" s="13"/>
      <c r="L820" s="11"/>
      <c r="M820" s="11"/>
    </row>
    <row r="821">
      <c r="K821" s="13"/>
      <c r="L821" s="11"/>
      <c r="M821" s="11"/>
    </row>
    <row r="822">
      <c r="K822" s="13"/>
      <c r="L822" s="11"/>
      <c r="M822" s="11"/>
    </row>
    <row r="823">
      <c r="K823" s="13"/>
      <c r="L823" s="11"/>
      <c r="M823" s="11"/>
    </row>
    <row r="824">
      <c r="K824" s="13"/>
      <c r="L824" s="11"/>
      <c r="M824" s="11"/>
    </row>
    <row r="825">
      <c r="K825" s="13"/>
      <c r="L825" s="11"/>
      <c r="M825" s="11"/>
    </row>
    <row r="826">
      <c r="K826" s="13"/>
      <c r="L826" s="11"/>
      <c r="M826" s="11"/>
    </row>
    <row r="827">
      <c r="K827" s="13"/>
      <c r="L827" s="11"/>
      <c r="M827" s="11"/>
    </row>
    <row r="828">
      <c r="K828" s="13"/>
      <c r="L828" s="11"/>
      <c r="M828" s="11"/>
    </row>
    <row r="829">
      <c r="K829" s="13"/>
      <c r="L829" s="11"/>
      <c r="M829" s="11"/>
    </row>
    <row r="830">
      <c r="K830" s="13"/>
      <c r="L830" s="11"/>
      <c r="M830" s="11"/>
    </row>
    <row r="831">
      <c r="K831" s="13"/>
      <c r="L831" s="11"/>
      <c r="M831" s="11"/>
    </row>
    <row r="832">
      <c r="K832" s="13"/>
      <c r="L832" s="11"/>
      <c r="M832" s="11"/>
    </row>
    <row r="833">
      <c r="K833" s="13"/>
      <c r="L833" s="11"/>
      <c r="M833" s="11"/>
    </row>
    <row r="834">
      <c r="K834" s="13"/>
      <c r="L834" s="11"/>
      <c r="M834" s="11"/>
    </row>
    <row r="835">
      <c r="K835" s="13"/>
      <c r="L835" s="11"/>
      <c r="M835" s="11"/>
    </row>
    <row r="836">
      <c r="K836" s="13"/>
      <c r="L836" s="11"/>
      <c r="M836" s="11"/>
    </row>
    <row r="837">
      <c r="K837" s="13"/>
      <c r="L837" s="11"/>
      <c r="M837" s="11"/>
    </row>
    <row r="838">
      <c r="K838" s="13"/>
      <c r="L838" s="11"/>
      <c r="M838" s="11"/>
    </row>
    <row r="839">
      <c r="K839" s="13"/>
      <c r="L839" s="11"/>
      <c r="M839" s="11"/>
    </row>
    <row r="840">
      <c r="K840" s="13"/>
      <c r="L840" s="11"/>
      <c r="M840" s="11"/>
    </row>
    <row r="841">
      <c r="K841" s="13"/>
      <c r="L841" s="11"/>
      <c r="M841" s="11"/>
    </row>
    <row r="842">
      <c r="K842" s="13"/>
      <c r="L842" s="11"/>
      <c r="M842" s="11"/>
    </row>
    <row r="843">
      <c r="K843" s="13"/>
      <c r="L843" s="11"/>
      <c r="M843" s="11"/>
    </row>
    <row r="844">
      <c r="K844" s="13"/>
      <c r="L844" s="11"/>
      <c r="M844" s="11"/>
    </row>
    <row r="845">
      <c r="K845" s="13"/>
      <c r="L845" s="11"/>
      <c r="M845" s="11"/>
    </row>
    <row r="846">
      <c r="K846" s="13"/>
      <c r="L846" s="11"/>
      <c r="M846" s="11"/>
    </row>
    <row r="847">
      <c r="K847" s="13"/>
      <c r="L847" s="11"/>
      <c r="M847" s="11"/>
    </row>
    <row r="848">
      <c r="K848" s="13"/>
      <c r="L848" s="11"/>
      <c r="M848" s="11"/>
    </row>
    <row r="849">
      <c r="K849" s="13"/>
      <c r="L849" s="11"/>
      <c r="M849" s="11"/>
    </row>
    <row r="850">
      <c r="K850" s="13"/>
      <c r="L850" s="11"/>
      <c r="M850" s="11"/>
    </row>
    <row r="851">
      <c r="K851" s="13"/>
      <c r="L851" s="11"/>
      <c r="M851" s="11"/>
    </row>
    <row r="852">
      <c r="K852" s="13"/>
      <c r="L852" s="11"/>
      <c r="M852" s="11"/>
    </row>
    <row r="853">
      <c r="K853" s="13"/>
      <c r="L853" s="11"/>
      <c r="M853" s="11"/>
    </row>
    <row r="854">
      <c r="K854" s="13"/>
      <c r="L854" s="11"/>
      <c r="M854" s="11"/>
    </row>
    <row r="855">
      <c r="K855" s="13"/>
      <c r="L855" s="11"/>
      <c r="M855" s="11"/>
    </row>
    <row r="856">
      <c r="K856" s="13"/>
      <c r="L856" s="11"/>
      <c r="M856" s="11"/>
    </row>
    <row r="857">
      <c r="K857" s="13"/>
      <c r="L857" s="11"/>
      <c r="M857" s="11"/>
    </row>
    <row r="858">
      <c r="K858" s="13"/>
      <c r="L858" s="11"/>
      <c r="M858" s="11"/>
    </row>
    <row r="859">
      <c r="K859" s="13"/>
      <c r="L859" s="11"/>
      <c r="M859" s="11"/>
    </row>
    <row r="860">
      <c r="K860" s="13"/>
      <c r="L860" s="11"/>
      <c r="M860" s="11"/>
    </row>
    <row r="861">
      <c r="K861" s="13"/>
      <c r="L861" s="11"/>
      <c r="M861" s="11"/>
    </row>
    <row r="862">
      <c r="K862" s="13"/>
      <c r="L862" s="11"/>
      <c r="M862" s="11"/>
    </row>
    <row r="863">
      <c r="K863" s="13"/>
      <c r="L863" s="11"/>
      <c r="M863" s="11"/>
    </row>
    <row r="864">
      <c r="K864" s="13"/>
      <c r="L864" s="11"/>
      <c r="M864" s="11"/>
    </row>
    <row r="865">
      <c r="K865" s="13"/>
      <c r="L865" s="11"/>
      <c r="M865" s="11"/>
    </row>
    <row r="866">
      <c r="K866" s="13"/>
      <c r="L866" s="11"/>
      <c r="M866" s="11"/>
    </row>
    <row r="867">
      <c r="K867" s="13"/>
      <c r="L867" s="11"/>
      <c r="M867" s="11"/>
    </row>
    <row r="868">
      <c r="K868" s="13"/>
      <c r="L868" s="11"/>
      <c r="M868" s="11"/>
    </row>
    <row r="869">
      <c r="K869" s="13"/>
      <c r="L869" s="11"/>
      <c r="M869" s="11"/>
    </row>
    <row r="870">
      <c r="K870" s="13"/>
      <c r="L870" s="11"/>
      <c r="M870" s="11"/>
    </row>
    <row r="871">
      <c r="K871" s="13"/>
      <c r="L871" s="11"/>
      <c r="M871" s="11"/>
    </row>
    <row r="872">
      <c r="K872" s="13"/>
      <c r="L872" s="11"/>
      <c r="M872" s="11"/>
    </row>
    <row r="873">
      <c r="K873" s="13"/>
      <c r="L873" s="11"/>
      <c r="M873" s="11"/>
    </row>
    <row r="874">
      <c r="K874" s="13"/>
      <c r="L874" s="11"/>
      <c r="M874" s="11"/>
    </row>
    <row r="875">
      <c r="K875" s="13"/>
      <c r="L875" s="11"/>
      <c r="M875" s="11"/>
    </row>
    <row r="876">
      <c r="K876" s="13"/>
      <c r="L876" s="11"/>
      <c r="M876" s="11"/>
    </row>
    <row r="877">
      <c r="K877" s="13"/>
      <c r="L877" s="11"/>
      <c r="M877" s="11"/>
    </row>
    <row r="878">
      <c r="K878" s="13"/>
      <c r="L878" s="11"/>
      <c r="M878" s="11"/>
    </row>
    <row r="879">
      <c r="K879" s="13"/>
      <c r="L879" s="11"/>
      <c r="M879" s="11"/>
    </row>
    <row r="880">
      <c r="K880" s="13"/>
      <c r="L880" s="11"/>
      <c r="M880" s="11"/>
    </row>
    <row r="881">
      <c r="K881" s="13"/>
      <c r="L881" s="11"/>
      <c r="M881" s="11"/>
    </row>
    <row r="882">
      <c r="K882" s="13"/>
      <c r="L882" s="11"/>
      <c r="M882" s="11"/>
    </row>
    <row r="883">
      <c r="K883" s="13"/>
      <c r="L883" s="11"/>
      <c r="M883" s="11"/>
    </row>
    <row r="884">
      <c r="K884" s="13"/>
      <c r="L884" s="11"/>
      <c r="M884" s="11"/>
    </row>
    <row r="885">
      <c r="K885" s="13"/>
      <c r="L885" s="11"/>
      <c r="M885" s="11"/>
    </row>
    <row r="886">
      <c r="K886" s="13"/>
      <c r="L886" s="11"/>
      <c r="M886" s="11"/>
    </row>
    <row r="887">
      <c r="K887" s="13"/>
      <c r="L887" s="11"/>
      <c r="M887" s="11"/>
    </row>
    <row r="888">
      <c r="K888" s="13"/>
      <c r="L888" s="11"/>
      <c r="M888" s="11"/>
    </row>
    <row r="889">
      <c r="K889" s="13"/>
      <c r="L889" s="11"/>
      <c r="M889" s="11"/>
    </row>
    <row r="890">
      <c r="K890" s="13"/>
      <c r="L890" s="11"/>
      <c r="M890" s="11"/>
    </row>
    <row r="891">
      <c r="K891" s="13"/>
      <c r="L891" s="11"/>
      <c r="M891" s="11"/>
    </row>
    <row r="892">
      <c r="K892" s="13"/>
      <c r="L892" s="11"/>
      <c r="M892" s="11"/>
    </row>
    <row r="893">
      <c r="K893" s="13"/>
      <c r="L893" s="11"/>
      <c r="M893" s="11"/>
    </row>
    <row r="894">
      <c r="K894" s="13"/>
      <c r="L894" s="11"/>
      <c r="M894" s="11"/>
    </row>
    <row r="895">
      <c r="K895" s="13"/>
      <c r="L895" s="11"/>
      <c r="M895" s="11"/>
    </row>
    <row r="896">
      <c r="K896" s="13"/>
      <c r="L896" s="11"/>
      <c r="M896" s="11"/>
    </row>
    <row r="897">
      <c r="K897" s="13"/>
      <c r="L897" s="11"/>
      <c r="M897" s="11"/>
    </row>
    <row r="898">
      <c r="K898" s="13"/>
      <c r="L898" s="11"/>
      <c r="M898" s="11"/>
    </row>
    <row r="899">
      <c r="K899" s="13"/>
      <c r="L899" s="11"/>
      <c r="M899" s="11"/>
    </row>
    <row r="900">
      <c r="K900" s="13"/>
      <c r="L900" s="11"/>
      <c r="M900" s="11"/>
    </row>
    <row r="901">
      <c r="K901" s="13"/>
      <c r="L901" s="11"/>
      <c r="M901" s="11"/>
    </row>
    <row r="902">
      <c r="K902" s="13"/>
      <c r="L902" s="11"/>
      <c r="M902" s="11"/>
    </row>
    <row r="903">
      <c r="K903" s="13"/>
      <c r="L903" s="11"/>
      <c r="M903" s="11"/>
    </row>
    <row r="904">
      <c r="K904" s="13"/>
      <c r="L904" s="11"/>
      <c r="M904" s="11"/>
    </row>
    <row r="905">
      <c r="K905" s="13"/>
      <c r="L905" s="11"/>
      <c r="M905" s="11"/>
    </row>
    <row r="906">
      <c r="K906" s="13"/>
      <c r="L906" s="11"/>
      <c r="M906" s="11"/>
    </row>
    <row r="907">
      <c r="K907" s="13"/>
      <c r="L907" s="11"/>
      <c r="M907" s="11"/>
    </row>
    <row r="908">
      <c r="K908" s="13"/>
      <c r="L908" s="11"/>
      <c r="M908" s="11"/>
    </row>
    <row r="909">
      <c r="K909" s="13"/>
      <c r="L909" s="11"/>
      <c r="M909" s="11"/>
    </row>
    <row r="910">
      <c r="K910" s="13"/>
      <c r="L910" s="11"/>
      <c r="M910" s="11"/>
    </row>
    <row r="911">
      <c r="K911" s="13"/>
      <c r="L911" s="11"/>
      <c r="M911" s="11"/>
    </row>
    <row r="912">
      <c r="K912" s="13"/>
      <c r="L912" s="11"/>
      <c r="M912" s="11"/>
    </row>
    <row r="913">
      <c r="K913" s="13"/>
      <c r="L913" s="11"/>
      <c r="M913" s="11"/>
    </row>
    <row r="914">
      <c r="K914" s="13"/>
      <c r="L914" s="11"/>
      <c r="M914" s="11"/>
    </row>
    <row r="915">
      <c r="K915" s="13"/>
      <c r="L915" s="11"/>
      <c r="M915" s="11"/>
    </row>
    <row r="916">
      <c r="K916" s="13"/>
      <c r="L916" s="11"/>
      <c r="M916" s="11"/>
    </row>
    <row r="917">
      <c r="K917" s="13"/>
      <c r="L917" s="11"/>
      <c r="M917" s="11"/>
    </row>
    <row r="918">
      <c r="K918" s="13"/>
      <c r="L918" s="11"/>
      <c r="M918" s="11"/>
    </row>
    <row r="919">
      <c r="K919" s="13"/>
      <c r="L919" s="11"/>
      <c r="M919" s="11"/>
    </row>
    <row r="920">
      <c r="K920" s="13"/>
      <c r="L920" s="11"/>
      <c r="M920" s="11"/>
    </row>
    <row r="921">
      <c r="K921" s="13"/>
      <c r="L921" s="11"/>
      <c r="M921" s="11"/>
    </row>
    <row r="922">
      <c r="K922" s="13"/>
      <c r="L922" s="11"/>
      <c r="M922" s="11"/>
    </row>
    <row r="923">
      <c r="K923" s="13"/>
      <c r="L923" s="11"/>
      <c r="M923" s="11"/>
    </row>
    <row r="924">
      <c r="K924" s="13"/>
      <c r="L924" s="11"/>
      <c r="M924" s="11"/>
    </row>
    <row r="925">
      <c r="K925" s="13"/>
      <c r="L925" s="11"/>
      <c r="M925" s="11"/>
    </row>
    <row r="926">
      <c r="K926" s="13"/>
      <c r="L926" s="11"/>
      <c r="M926" s="11"/>
    </row>
    <row r="927">
      <c r="K927" s="13"/>
      <c r="L927" s="11"/>
      <c r="M927" s="11"/>
    </row>
    <row r="928">
      <c r="K928" s="13"/>
      <c r="L928" s="11"/>
      <c r="M928" s="11"/>
    </row>
    <row r="929">
      <c r="K929" s="13"/>
      <c r="L929" s="11"/>
      <c r="M929" s="11"/>
    </row>
    <row r="930">
      <c r="K930" s="13"/>
      <c r="L930" s="11"/>
      <c r="M930" s="11"/>
    </row>
    <row r="931">
      <c r="K931" s="13"/>
      <c r="L931" s="11"/>
      <c r="M931" s="11"/>
    </row>
    <row r="932">
      <c r="K932" s="13"/>
      <c r="L932" s="11"/>
      <c r="M932" s="11"/>
    </row>
    <row r="933">
      <c r="K933" s="13"/>
      <c r="L933" s="11"/>
      <c r="M933" s="11"/>
    </row>
    <row r="934">
      <c r="K934" s="13"/>
      <c r="L934" s="11"/>
      <c r="M934" s="11"/>
    </row>
    <row r="935">
      <c r="K935" s="13"/>
      <c r="L935" s="11"/>
      <c r="M935" s="11"/>
    </row>
    <row r="936">
      <c r="K936" s="13"/>
      <c r="L936" s="11"/>
      <c r="M936" s="11"/>
    </row>
    <row r="937">
      <c r="K937" s="13"/>
      <c r="L937" s="11"/>
      <c r="M937" s="11"/>
    </row>
    <row r="938">
      <c r="K938" s="13"/>
      <c r="L938" s="11"/>
      <c r="M938" s="11"/>
    </row>
    <row r="939">
      <c r="K939" s="13"/>
      <c r="L939" s="11"/>
      <c r="M939" s="11"/>
    </row>
    <row r="940">
      <c r="K940" s="13"/>
      <c r="L940" s="11"/>
      <c r="M940" s="11"/>
    </row>
    <row r="941">
      <c r="K941" s="13"/>
      <c r="L941" s="11"/>
      <c r="M941" s="11"/>
    </row>
    <row r="942">
      <c r="K942" s="13"/>
      <c r="L942" s="11"/>
      <c r="M942" s="11"/>
    </row>
    <row r="943">
      <c r="K943" s="13"/>
      <c r="L943" s="11"/>
      <c r="M943" s="11"/>
    </row>
    <row r="944">
      <c r="K944" s="13"/>
      <c r="L944" s="11"/>
      <c r="M944" s="11"/>
    </row>
    <row r="945">
      <c r="K945" s="13"/>
      <c r="L945" s="11"/>
      <c r="M945" s="11"/>
    </row>
    <row r="946">
      <c r="K946" s="13"/>
      <c r="L946" s="11"/>
      <c r="M946" s="11"/>
    </row>
    <row r="947">
      <c r="K947" s="13"/>
      <c r="L947" s="11"/>
      <c r="M947" s="11"/>
    </row>
    <row r="948">
      <c r="K948" s="13"/>
      <c r="L948" s="11"/>
      <c r="M948" s="11"/>
    </row>
    <row r="949">
      <c r="K949" s="13"/>
      <c r="L949" s="11"/>
      <c r="M949" s="11"/>
    </row>
    <row r="950">
      <c r="K950" s="13"/>
      <c r="L950" s="11"/>
      <c r="M950" s="11"/>
    </row>
    <row r="951">
      <c r="K951" s="13"/>
      <c r="L951" s="11"/>
      <c r="M951" s="11"/>
    </row>
    <row r="952">
      <c r="K952" s="13"/>
      <c r="L952" s="11"/>
      <c r="M952" s="11"/>
    </row>
    <row r="953">
      <c r="K953" s="13"/>
      <c r="L953" s="11"/>
      <c r="M953" s="11"/>
    </row>
    <row r="954">
      <c r="K954" s="13"/>
      <c r="L954" s="11"/>
      <c r="M954" s="11"/>
    </row>
    <row r="955">
      <c r="K955" s="13"/>
      <c r="L955" s="11"/>
      <c r="M955" s="11"/>
    </row>
    <row r="956">
      <c r="K956" s="13"/>
      <c r="L956" s="11"/>
      <c r="M956" s="11"/>
    </row>
    <row r="957">
      <c r="K957" s="13"/>
      <c r="L957" s="11"/>
      <c r="M957" s="11"/>
    </row>
    <row r="958">
      <c r="K958" s="13"/>
      <c r="L958" s="11"/>
      <c r="M958" s="11"/>
    </row>
    <row r="959">
      <c r="K959" s="13"/>
      <c r="L959" s="11"/>
      <c r="M959" s="11"/>
    </row>
    <row r="960">
      <c r="K960" s="13"/>
      <c r="L960" s="11"/>
      <c r="M960" s="11"/>
    </row>
    <row r="961">
      <c r="K961" s="13"/>
      <c r="L961" s="11"/>
      <c r="M961" s="11"/>
    </row>
    <row r="962">
      <c r="K962" s="13"/>
      <c r="L962" s="11"/>
      <c r="M962" s="11"/>
    </row>
    <row r="963">
      <c r="K963" s="13"/>
      <c r="L963" s="11"/>
      <c r="M963" s="11"/>
    </row>
    <row r="964">
      <c r="K964" s="13"/>
      <c r="L964" s="11"/>
      <c r="M964" s="11"/>
    </row>
    <row r="965">
      <c r="K965" s="13"/>
      <c r="L965" s="11"/>
      <c r="M965" s="11"/>
    </row>
    <row r="966">
      <c r="K966" s="13"/>
      <c r="L966" s="11"/>
      <c r="M966" s="11"/>
    </row>
    <row r="967">
      <c r="K967" s="13"/>
      <c r="L967" s="11"/>
      <c r="M967" s="11"/>
    </row>
    <row r="968">
      <c r="K968" s="13"/>
      <c r="L968" s="11"/>
      <c r="M968" s="11"/>
    </row>
    <row r="969">
      <c r="K969" s="13"/>
      <c r="L969" s="11"/>
      <c r="M969" s="11"/>
    </row>
    <row r="970">
      <c r="K970" s="13"/>
      <c r="L970" s="11"/>
      <c r="M970" s="11"/>
    </row>
    <row r="971">
      <c r="K971" s="13"/>
      <c r="L971" s="11"/>
      <c r="M971" s="11"/>
    </row>
    <row r="972">
      <c r="K972" s="13"/>
      <c r="L972" s="11"/>
      <c r="M972" s="11"/>
    </row>
    <row r="973">
      <c r="K973" s="13"/>
      <c r="L973" s="11"/>
      <c r="M973" s="11"/>
    </row>
    <row r="974">
      <c r="K974" s="13"/>
      <c r="L974" s="11"/>
      <c r="M974" s="11"/>
    </row>
    <row r="975">
      <c r="K975" s="13"/>
      <c r="L975" s="11"/>
      <c r="M975" s="11"/>
    </row>
    <row r="976">
      <c r="K976" s="13"/>
      <c r="L976" s="11"/>
      <c r="M976" s="11"/>
    </row>
    <row r="977">
      <c r="K977" s="13"/>
      <c r="L977" s="11"/>
      <c r="M977" s="11"/>
    </row>
    <row r="978">
      <c r="K978" s="13"/>
      <c r="L978" s="11"/>
      <c r="M978" s="11"/>
    </row>
    <row r="979">
      <c r="K979" s="13"/>
      <c r="L979" s="11"/>
      <c r="M979" s="11"/>
    </row>
    <row r="980">
      <c r="K980" s="13"/>
      <c r="L980" s="11"/>
      <c r="M980" s="11"/>
    </row>
    <row r="981">
      <c r="K981" s="13"/>
      <c r="L981" s="11"/>
      <c r="M981" s="11"/>
    </row>
    <row r="982">
      <c r="K982" s="13"/>
      <c r="L982" s="11"/>
      <c r="M982" s="11"/>
    </row>
    <row r="983">
      <c r="K983" s="13"/>
      <c r="L983" s="11"/>
      <c r="M983" s="11"/>
    </row>
    <row r="984">
      <c r="K984" s="13"/>
      <c r="L984" s="11"/>
      <c r="M984" s="11"/>
    </row>
    <row r="985">
      <c r="K985" s="13"/>
      <c r="L985" s="11"/>
      <c r="M985" s="11"/>
    </row>
    <row r="986">
      <c r="K986" s="13"/>
      <c r="L986" s="11"/>
      <c r="M986" s="11"/>
    </row>
    <row r="987">
      <c r="K987" s="13"/>
      <c r="L987" s="11"/>
      <c r="M987" s="11"/>
    </row>
    <row r="988">
      <c r="K988" s="13"/>
      <c r="L988" s="11"/>
      <c r="M988" s="11"/>
    </row>
    <row r="989">
      <c r="K989" s="13"/>
      <c r="L989" s="11"/>
      <c r="M989" s="11"/>
    </row>
    <row r="990">
      <c r="K990" s="13"/>
      <c r="L990" s="11"/>
      <c r="M990" s="11"/>
    </row>
    <row r="991">
      <c r="K991" s="13"/>
      <c r="L991" s="11"/>
      <c r="M991" s="11"/>
    </row>
    <row r="992">
      <c r="K992" s="13"/>
      <c r="L992" s="11"/>
      <c r="M992" s="11"/>
    </row>
    <row r="993">
      <c r="K993" s="13"/>
      <c r="L993" s="11"/>
      <c r="M993" s="11"/>
    </row>
    <row r="994">
      <c r="K994" s="13"/>
      <c r="L994" s="11"/>
      <c r="M994" s="11"/>
    </row>
    <row r="995">
      <c r="K995" s="13"/>
      <c r="L995" s="11"/>
      <c r="M995" s="11"/>
    </row>
    <row r="996">
      <c r="K996" s="13"/>
      <c r="L996" s="11"/>
      <c r="M996" s="11"/>
    </row>
    <row r="997">
      <c r="K997" s="13"/>
      <c r="L997" s="11"/>
      <c r="M997" s="11"/>
    </row>
    <row r="998">
      <c r="K998" s="13"/>
      <c r="L998" s="11"/>
      <c r="M998" s="11"/>
    </row>
    <row r="999">
      <c r="K999" s="13"/>
      <c r="L999" s="11"/>
      <c r="M999" s="11"/>
    </row>
    <row r="1000">
      <c r="K1000" s="13"/>
      <c r="L1000" s="11"/>
      <c r="M1000" s="11"/>
    </row>
    <row r="1001">
      <c r="K1001" s="13"/>
      <c r="L1001" s="11"/>
      <c r="M1001" s="11"/>
    </row>
  </sheetData>
  <autoFilter ref="$A$2:$K$24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2" max="9" width="12.63"/>
    <col hidden="1" min="11" max="12" width="12.63"/>
    <col hidden="1" min="20" max="27" width="12.63"/>
    <col hidden="1" min="29" max="30" width="12.63"/>
    <col customWidth="1" min="33" max="33" width="30.38"/>
    <col customWidth="1" min="34" max="34" width="18.0"/>
    <col customWidth="1" min="36" max="36" width="22.63"/>
    <col hidden="1" min="38" max="45" width="12.63"/>
    <col hidden="1" min="47" max="48" width="12.63"/>
    <col hidden="1" min="56" max="65" width="12.63"/>
  </cols>
  <sheetData>
    <row r="1">
      <c r="A1" s="20" t="s">
        <v>30</v>
      </c>
      <c r="B1" s="21"/>
      <c r="C1" s="21"/>
      <c r="D1" s="21"/>
      <c r="E1" s="21"/>
      <c r="F1" s="21"/>
      <c r="G1" s="21"/>
      <c r="H1" s="21"/>
      <c r="I1" s="21"/>
      <c r="J1" s="21"/>
      <c r="K1" s="22"/>
      <c r="L1" s="22"/>
      <c r="M1" s="23"/>
      <c r="N1" s="24"/>
      <c r="O1" s="24"/>
      <c r="P1" s="25"/>
      <c r="Q1" s="24"/>
      <c r="R1" s="24"/>
      <c r="S1" s="26" t="s">
        <v>31</v>
      </c>
      <c r="AF1" s="27"/>
      <c r="AG1" s="27"/>
      <c r="AH1" s="27"/>
      <c r="AI1" s="27"/>
      <c r="AJ1" s="27"/>
      <c r="AK1" s="28" t="s">
        <v>32</v>
      </c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</row>
    <row r="2">
      <c r="A2" s="30" t="s">
        <v>0</v>
      </c>
      <c r="B2" s="30" t="s">
        <v>1</v>
      </c>
      <c r="C2" s="30" t="s">
        <v>2</v>
      </c>
      <c r="D2" s="30" t="s">
        <v>3</v>
      </c>
      <c r="E2" s="30" t="s">
        <v>4</v>
      </c>
      <c r="F2" s="30" t="s">
        <v>5</v>
      </c>
      <c r="G2" s="30" t="s">
        <v>6</v>
      </c>
      <c r="H2" s="30" t="s">
        <v>7</v>
      </c>
      <c r="I2" s="30" t="s">
        <v>8</v>
      </c>
      <c r="J2" s="30" t="s">
        <v>9</v>
      </c>
      <c r="K2" s="31" t="s">
        <v>10</v>
      </c>
      <c r="L2" s="31" t="s">
        <v>11</v>
      </c>
      <c r="M2" s="32" t="s">
        <v>12</v>
      </c>
      <c r="N2" s="24"/>
      <c r="O2" s="24"/>
      <c r="P2" s="33" t="s">
        <v>33</v>
      </c>
      <c r="Q2" s="24"/>
      <c r="R2" s="24"/>
      <c r="S2" s="34" t="s">
        <v>0</v>
      </c>
      <c r="T2" s="34" t="s">
        <v>1</v>
      </c>
      <c r="U2" s="34" t="s">
        <v>2</v>
      </c>
      <c r="V2" s="34" t="s">
        <v>3</v>
      </c>
      <c r="W2" s="34" t="s">
        <v>4</v>
      </c>
      <c r="X2" s="34" t="s">
        <v>5</v>
      </c>
      <c r="Y2" s="34" t="s">
        <v>6</v>
      </c>
      <c r="Z2" s="34" t="s">
        <v>7</v>
      </c>
      <c r="AA2" s="34" t="s">
        <v>8</v>
      </c>
      <c r="AB2" s="34" t="s">
        <v>9</v>
      </c>
      <c r="AC2" s="34" t="s">
        <v>10</v>
      </c>
      <c r="AD2" s="34" t="s">
        <v>11</v>
      </c>
      <c r="AE2" s="35" t="s">
        <v>12</v>
      </c>
      <c r="AF2" s="27"/>
      <c r="AG2" s="27"/>
      <c r="AH2" s="33" t="s">
        <v>33</v>
      </c>
      <c r="AI2" s="27"/>
      <c r="AJ2" s="27"/>
      <c r="AK2" s="34" t="s">
        <v>0</v>
      </c>
      <c r="AL2" s="34" t="s">
        <v>1</v>
      </c>
      <c r="AM2" s="34" t="s">
        <v>2</v>
      </c>
      <c r="AN2" s="34" t="s">
        <v>3</v>
      </c>
      <c r="AO2" s="34" t="s">
        <v>4</v>
      </c>
      <c r="AP2" s="34" t="s">
        <v>5</v>
      </c>
      <c r="AQ2" s="34" t="s">
        <v>6</v>
      </c>
      <c r="AR2" s="34" t="s">
        <v>7</v>
      </c>
      <c r="AS2" s="34" t="s">
        <v>8</v>
      </c>
      <c r="AT2" s="34" t="s">
        <v>9</v>
      </c>
      <c r="AU2" s="34" t="s">
        <v>10</v>
      </c>
      <c r="AV2" s="34" t="s">
        <v>11</v>
      </c>
      <c r="AW2" s="35" t="s">
        <v>12</v>
      </c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</row>
    <row r="3">
      <c r="A3" s="36">
        <v>100043.0</v>
      </c>
      <c r="B3" s="7">
        <v>10.0</v>
      </c>
      <c r="C3" s="7">
        <v>31.0</v>
      </c>
      <c r="D3" s="7">
        <v>0.03</v>
      </c>
      <c r="E3" s="7">
        <v>0.5</v>
      </c>
      <c r="F3" s="7" t="s">
        <v>14</v>
      </c>
      <c r="G3" s="7" t="s">
        <v>14</v>
      </c>
      <c r="H3" s="7">
        <v>2048.0</v>
      </c>
      <c r="I3" s="7">
        <v>200.0</v>
      </c>
      <c r="J3" s="7">
        <v>800.0</v>
      </c>
      <c r="K3" s="37">
        <v>256.0</v>
      </c>
      <c r="L3" s="38">
        <v>8192.0</v>
      </c>
      <c r="M3" s="39">
        <v>2462.0</v>
      </c>
      <c r="N3" s="24"/>
      <c r="O3" s="24"/>
      <c r="P3" s="40">
        <f t="shared" ref="P3:P13" si="1">AE3-M3</f>
        <v>1559</v>
      </c>
      <c r="Q3" s="24"/>
      <c r="R3" s="24"/>
      <c r="S3" s="41">
        <v>100043.0</v>
      </c>
      <c r="T3" s="42">
        <v>10.0</v>
      </c>
      <c r="U3" s="42">
        <v>31.0</v>
      </c>
      <c r="V3" s="42">
        <v>0.03</v>
      </c>
      <c r="W3" s="42">
        <v>0.5</v>
      </c>
      <c r="X3" s="42" t="s">
        <v>14</v>
      </c>
      <c r="Y3" s="42" t="s">
        <v>14</v>
      </c>
      <c r="Z3" s="42">
        <v>2048.0</v>
      </c>
      <c r="AA3" s="42">
        <v>200.0</v>
      </c>
      <c r="AB3" s="42">
        <v>800.0</v>
      </c>
      <c r="AC3" s="42">
        <v>256.0</v>
      </c>
      <c r="AD3" s="43">
        <v>8192.0</v>
      </c>
      <c r="AE3" s="44">
        <v>4021.0</v>
      </c>
      <c r="AF3" s="45"/>
      <c r="AG3" s="45"/>
      <c r="AH3" s="40">
        <f t="shared" ref="AH3:AH13" si="2">AW3-AE3</f>
        <v>-486</v>
      </c>
      <c r="AI3" s="45"/>
      <c r="AJ3" s="45"/>
      <c r="AK3" s="46">
        <v>100043.0</v>
      </c>
      <c r="AL3" s="47">
        <v>10.0</v>
      </c>
      <c r="AM3" s="47">
        <v>31.0</v>
      </c>
      <c r="AN3" s="47">
        <v>0.03</v>
      </c>
      <c r="AO3" s="47">
        <v>0.5</v>
      </c>
      <c r="AP3" s="47" t="s">
        <v>14</v>
      </c>
      <c r="AQ3" s="47" t="s">
        <v>14</v>
      </c>
      <c r="AR3" s="47">
        <v>2048.0</v>
      </c>
      <c r="AS3" s="47">
        <v>200.0</v>
      </c>
      <c r="AT3" s="47">
        <v>800.0</v>
      </c>
      <c r="AU3" s="47">
        <v>256.0</v>
      </c>
      <c r="AV3" s="48">
        <v>8192.0</v>
      </c>
      <c r="AW3" s="49">
        <v>3535.0</v>
      </c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5"/>
    </row>
    <row r="4">
      <c r="A4" s="36">
        <v>100043.0</v>
      </c>
      <c r="B4" s="7">
        <v>10.0</v>
      </c>
      <c r="C4" s="7">
        <v>31.0</v>
      </c>
      <c r="D4" s="7">
        <v>0.03</v>
      </c>
      <c r="E4" s="7">
        <v>0.5</v>
      </c>
      <c r="F4" s="7" t="s">
        <v>14</v>
      </c>
      <c r="G4" s="7" t="s">
        <v>14</v>
      </c>
      <c r="H4" s="7">
        <v>2048.0</v>
      </c>
      <c r="I4" s="7">
        <v>200.0</v>
      </c>
      <c r="J4" s="7">
        <v>850.0</v>
      </c>
      <c r="K4" s="37">
        <f t="shared" ref="K4:K5" si="3">K3</f>
        <v>256</v>
      </c>
      <c r="L4" s="38">
        <v>8192.0</v>
      </c>
      <c r="M4" s="39">
        <v>2293.0</v>
      </c>
      <c r="N4" s="24"/>
      <c r="O4" s="24"/>
      <c r="P4" s="40">
        <f t="shared" si="1"/>
        <v>1967</v>
      </c>
      <c r="Q4" s="24"/>
      <c r="R4" s="24"/>
      <c r="S4" s="50">
        <v>100043.0</v>
      </c>
      <c r="T4" s="51">
        <v>10.0</v>
      </c>
      <c r="U4" s="51">
        <v>31.0</v>
      </c>
      <c r="V4" s="51">
        <v>0.03</v>
      </c>
      <c r="W4" s="51">
        <v>0.5</v>
      </c>
      <c r="X4" s="51" t="s">
        <v>14</v>
      </c>
      <c r="Y4" s="51" t="s">
        <v>14</v>
      </c>
      <c r="Z4" s="51">
        <v>2048.0</v>
      </c>
      <c r="AA4" s="51">
        <v>200.0</v>
      </c>
      <c r="AB4" s="51">
        <v>850.0</v>
      </c>
      <c r="AC4" s="51">
        <v>256.0</v>
      </c>
      <c r="AD4" s="52">
        <v>8192.0</v>
      </c>
      <c r="AE4" s="53">
        <v>4260.0</v>
      </c>
      <c r="AF4" s="45"/>
      <c r="AG4" s="45"/>
      <c r="AH4" s="40">
        <f t="shared" si="2"/>
        <v>-457</v>
      </c>
      <c r="AI4" s="45"/>
      <c r="AJ4" s="45"/>
      <c r="AK4" s="54">
        <v>100043.0</v>
      </c>
      <c r="AL4" s="55">
        <v>10.0</v>
      </c>
      <c r="AM4" s="55">
        <v>31.0</v>
      </c>
      <c r="AN4" s="55">
        <v>0.03</v>
      </c>
      <c r="AO4" s="55">
        <v>0.5</v>
      </c>
      <c r="AP4" s="55" t="s">
        <v>14</v>
      </c>
      <c r="AQ4" s="55" t="s">
        <v>14</v>
      </c>
      <c r="AR4" s="55">
        <v>2048.0</v>
      </c>
      <c r="AS4" s="55">
        <v>200.0</v>
      </c>
      <c r="AT4" s="55">
        <v>850.0</v>
      </c>
      <c r="AU4" s="55">
        <v>256.0</v>
      </c>
      <c r="AV4" s="56">
        <v>8192.0</v>
      </c>
      <c r="AW4" s="57">
        <v>3803.0</v>
      </c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</row>
    <row r="5">
      <c r="A5" s="36">
        <v>100043.0</v>
      </c>
      <c r="B5" s="7">
        <v>10.0</v>
      </c>
      <c r="C5" s="7">
        <v>31.0</v>
      </c>
      <c r="D5" s="7">
        <v>0.03</v>
      </c>
      <c r="E5" s="7">
        <v>0.5</v>
      </c>
      <c r="F5" s="7" t="s">
        <v>14</v>
      </c>
      <c r="G5" s="7" t="s">
        <v>14</v>
      </c>
      <c r="H5" s="7">
        <v>2048.0</v>
      </c>
      <c r="I5" s="7">
        <v>200.0</v>
      </c>
      <c r="J5" s="7">
        <v>900.0</v>
      </c>
      <c r="K5" s="37">
        <f t="shared" si="3"/>
        <v>256</v>
      </c>
      <c r="L5" s="38">
        <v>8192.0</v>
      </c>
      <c r="M5" s="39">
        <v>2184.0</v>
      </c>
      <c r="N5" s="24"/>
      <c r="O5" s="24"/>
      <c r="P5" s="40">
        <f t="shared" si="1"/>
        <v>1907</v>
      </c>
      <c r="Q5" s="24"/>
      <c r="R5" s="24"/>
      <c r="S5" s="50">
        <v>100043.0</v>
      </c>
      <c r="T5" s="51">
        <v>10.0</v>
      </c>
      <c r="U5" s="51">
        <v>31.0</v>
      </c>
      <c r="V5" s="51">
        <v>0.03</v>
      </c>
      <c r="W5" s="51">
        <v>0.5</v>
      </c>
      <c r="X5" s="51" t="s">
        <v>14</v>
      </c>
      <c r="Y5" s="51" t="s">
        <v>14</v>
      </c>
      <c r="Z5" s="51">
        <v>2048.0</v>
      </c>
      <c r="AA5" s="51">
        <v>200.0</v>
      </c>
      <c r="AB5" s="51">
        <v>900.0</v>
      </c>
      <c r="AC5" s="51">
        <v>256.0</v>
      </c>
      <c r="AD5" s="52">
        <v>8192.0</v>
      </c>
      <c r="AE5" s="53">
        <v>4091.0</v>
      </c>
      <c r="AF5" s="45"/>
      <c r="AG5" s="45"/>
      <c r="AH5" s="40">
        <f t="shared" si="2"/>
        <v>-387</v>
      </c>
      <c r="AI5" s="45"/>
      <c r="AJ5" s="45"/>
      <c r="AK5" s="54">
        <v>100043.0</v>
      </c>
      <c r="AL5" s="55">
        <v>10.0</v>
      </c>
      <c r="AM5" s="55">
        <v>31.0</v>
      </c>
      <c r="AN5" s="55">
        <v>0.03</v>
      </c>
      <c r="AO5" s="55">
        <v>0.5</v>
      </c>
      <c r="AP5" s="55" t="s">
        <v>14</v>
      </c>
      <c r="AQ5" s="55" t="s">
        <v>14</v>
      </c>
      <c r="AR5" s="55">
        <v>2048.0</v>
      </c>
      <c r="AS5" s="55">
        <v>200.0</v>
      </c>
      <c r="AT5" s="55">
        <v>900.0</v>
      </c>
      <c r="AU5" s="55">
        <v>256.0</v>
      </c>
      <c r="AV5" s="56">
        <v>8192.0</v>
      </c>
      <c r="AW5" s="57">
        <v>3704.0</v>
      </c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</row>
    <row r="6">
      <c r="A6" s="36">
        <v>100043.0</v>
      </c>
      <c r="B6" s="7">
        <v>10.0</v>
      </c>
      <c r="C6" s="7">
        <v>31.0</v>
      </c>
      <c r="D6" s="7">
        <v>0.03</v>
      </c>
      <c r="E6" s="7">
        <v>0.5</v>
      </c>
      <c r="F6" s="7" t="s">
        <v>14</v>
      </c>
      <c r="G6" s="7" t="s">
        <v>14</v>
      </c>
      <c r="H6" s="7">
        <v>2048.0</v>
      </c>
      <c r="I6" s="7">
        <v>200.0</v>
      </c>
      <c r="J6" s="7">
        <v>950.0</v>
      </c>
      <c r="K6" s="37">
        <v>256.0</v>
      </c>
      <c r="L6" s="38">
        <v>8192.0</v>
      </c>
      <c r="M6" s="39">
        <v>2045.0</v>
      </c>
      <c r="N6" s="24"/>
      <c r="O6" s="24"/>
      <c r="P6" s="40">
        <f t="shared" si="1"/>
        <v>1867</v>
      </c>
      <c r="Q6" s="24"/>
      <c r="R6" s="24"/>
      <c r="S6" s="50">
        <v>100043.0</v>
      </c>
      <c r="T6" s="51">
        <v>10.0</v>
      </c>
      <c r="U6" s="51">
        <v>31.0</v>
      </c>
      <c r="V6" s="51">
        <v>0.03</v>
      </c>
      <c r="W6" s="51">
        <v>0.5</v>
      </c>
      <c r="X6" s="51" t="s">
        <v>14</v>
      </c>
      <c r="Y6" s="51" t="s">
        <v>14</v>
      </c>
      <c r="Z6" s="51">
        <v>2048.0</v>
      </c>
      <c r="AA6" s="51">
        <v>200.0</v>
      </c>
      <c r="AB6" s="51">
        <v>950.0</v>
      </c>
      <c r="AC6" s="51">
        <v>256.0</v>
      </c>
      <c r="AD6" s="52">
        <v>8192.0</v>
      </c>
      <c r="AE6" s="53">
        <v>3912.0</v>
      </c>
      <c r="AF6" s="45"/>
      <c r="AG6" s="45"/>
      <c r="AH6" s="40">
        <f t="shared" si="2"/>
        <v>-347</v>
      </c>
      <c r="AI6" s="45"/>
      <c r="AJ6" s="45"/>
      <c r="AK6" s="54">
        <v>100043.0</v>
      </c>
      <c r="AL6" s="55">
        <v>10.0</v>
      </c>
      <c r="AM6" s="55">
        <v>31.0</v>
      </c>
      <c r="AN6" s="55">
        <v>0.03</v>
      </c>
      <c r="AO6" s="55">
        <v>0.5</v>
      </c>
      <c r="AP6" s="55" t="s">
        <v>14</v>
      </c>
      <c r="AQ6" s="55" t="s">
        <v>14</v>
      </c>
      <c r="AR6" s="55">
        <v>2048.0</v>
      </c>
      <c r="AS6" s="55">
        <v>200.0</v>
      </c>
      <c r="AT6" s="55">
        <v>950.0</v>
      </c>
      <c r="AU6" s="55">
        <v>256.0</v>
      </c>
      <c r="AV6" s="56">
        <v>8192.0</v>
      </c>
      <c r="AW6" s="57">
        <v>3565.0</v>
      </c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</row>
    <row r="7">
      <c r="A7" s="36">
        <v>100043.0</v>
      </c>
      <c r="B7" s="7">
        <v>10.0</v>
      </c>
      <c r="C7" s="7">
        <v>31.0</v>
      </c>
      <c r="D7" s="7">
        <v>0.03</v>
      </c>
      <c r="E7" s="7">
        <v>0.5</v>
      </c>
      <c r="F7" s="7" t="s">
        <v>14</v>
      </c>
      <c r="G7" s="7" t="s">
        <v>14</v>
      </c>
      <c r="H7" s="7">
        <v>2048.0</v>
      </c>
      <c r="I7" s="7">
        <v>200.0</v>
      </c>
      <c r="J7" s="7">
        <v>1000.0</v>
      </c>
      <c r="K7" s="37">
        <f t="shared" ref="K7:K13" si="4">K6</f>
        <v>256</v>
      </c>
      <c r="L7" s="38">
        <v>8192.0</v>
      </c>
      <c r="M7" s="39">
        <v>2293.0</v>
      </c>
      <c r="N7" s="24"/>
      <c r="O7" s="24"/>
      <c r="P7" s="40">
        <f t="shared" si="1"/>
        <v>1490</v>
      </c>
      <c r="Q7" s="24"/>
      <c r="R7" s="24"/>
      <c r="S7" s="50">
        <v>100043.0</v>
      </c>
      <c r="T7" s="51">
        <v>10.0</v>
      </c>
      <c r="U7" s="51">
        <v>31.0</v>
      </c>
      <c r="V7" s="51">
        <v>0.03</v>
      </c>
      <c r="W7" s="51">
        <v>0.5</v>
      </c>
      <c r="X7" s="51" t="s">
        <v>14</v>
      </c>
      <c r="Y7" s="51" t="s">
        <v>14</v>
      </c>
      <c r="Z7" s="51">
        <v>2048.0</v>
      </c>
      <c r="AA7" s="51">
        <v>200.0</v>
      </c>
      <c r="AB7" s="51">
        <v>1000.0</v>
      </c>
      <c r="AC7" s="51">
        <v>256.0</v>
      </c>
      <c r="AD7" s="52">
        <v>8192.0</v>
      </c>
      <c r="AE7" s="53">
        <v>3783.0</v>
      </c>
      <c r="AF7" s="45"/>
      <c r="AG7" s="45"/>
      <c r="AH7" s="40">
        <f t="shared" si="2"/>
        <v>-348</v>
      </c>
      <c r="AI7" s="45"/>
      <c r="AJ7" s="45"/>
      <c r="AK7" s="54">
        <v>100043.0</v>
      </c>
      <c r="AL7" s="55">
        <v>10.0</v>
      </c>
      <c r="AM7" s="55">
        <v>31.0</v>
      </c>
      <c r="AN7" s="55">
        <v>0.03</v>
      </c>
      <c r="AO7" s="55">
        <v>0.5</v>
      </c>
      <c r="AP7" s="55" t="s">
        <v>14</v>
      </c>
      <c r="AQ7" s="55" t="s">
        <v>14</v>
      </c>
      <c r="AR7" s="55">
        <v>2048.0</v>
      </c>
      <c r="AS7" s="55">
        <v>200.0</v>
      </c>
      <c r="AT7" s="55">
        <v>1000.0</v>
      </c>
      <c r="AU7" s="55">
        <v>256.0</v>
      </c>
      <c r="AV7" s="56">
        <v>8192.0</v>
      </c>
      <c r="AW7" s="57">
        <v>3435.0</v>
      </c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</row>
    <row r="8">
      <c r="A8" s="36">
        <v>100043.0</v>
      </c>
      <c r="B8" s="7">
        <v>10.0</v>
      </c>
      <c r="C8" s="7">
        <v>31.0</v>
      </c>
      <c r="D8" s="7">
        <v>0.03</v>
      </c>
      <c r="E8" s="7">
        <v>0.5</v>
      </c>
      <c r="F8" s="7" t="s">
        <v>14</v>
      </c>
      <c r="G8" s="7" t="s">
        <v>14</v>
      </c>
      <c r="H8" s="7">
        <v>2048.0</v>
      </c>
      <c r="I8" s="7">
        <v>200.0</v>
      </c>
      <c r="J8" s="7">
        <v>1050.0</v>
      </c>
      <c r="K8" s="37">
        <f t="shared" si="4"/>
        <v>256</v>
      </c>
      <c r="L8" s="38">
        <v>8192.0</v>
      </c>
      <c r="M8" s="39">
        <v>3316.0</v>
      </c>
      <c r="N8" s="24"/>
      <c r="O8" s="24"/>
      <c r="P8" s="40">
        <f t="shared" si="1"/>
        <v>636</v>
      </c>
      <c r="Q8" s="24"/>
      <c r="R8" s="24"/>
      <c r="S8" s="50">
        <v>100043.0</v>
      </c>
      <c r="T8" s="51">
        <v>10.0</v>
      </c>
      <c r="U8" s="51">
        <v>31.0</v>
      </c>
      <c r="V8" s="51">
        <v>0.03</v>
      </c>
      <c r="W8" s="51">
        <v>0.5</v>
      </c>
      <c r="X8" s="51" t="s">
        <v>14</v>
      </c>
      <c r="Y8" s="51" t="s">
        <v>14</v>
      </c>
      <c r="Z8" s="51">
        <v>2048.0</v>
      </c>
      <c r="AA8" s="51">
        <v>200.0</v>
      </c>
      <c r="AB8" s="51">
        <v>1050.0</v>
      </c>
      <c r="AC8" s="51">
        <v>256.0</v>
      </c>
      <c r="AD8" s="52">
        <v>8192.0</v>
      </c>
      <c r="AE8" s="53">
        <v>3952.0</v>
      </c>
      <c r="AF8" s="45"/>
      <c r="AG8" s="45"/>
      <c r="AH8" s="40">
        <f t="shared" si="2"/>
        <v>-675</v>
      </c>
      <c r="AI8" s="45"/>
      <c r="AJ8" s="45"/>
      <c r="AK8" s="54">
        <v>100043.0</v>
      </c>
      <c r="AL8" s="55">
        <v>10.0</v>
      </c>
      <c r="AM8" s="55">
        <v>31.0</v>
      </c>
      <c r="AN8" s="55">
        <v>0.03</v>
      </c>
      <c r="AO8" s="55">
        <v>0.5</v>
      </c>
      <c r="AP8" s="55" t="s">
        <v>14</v>
      </c>
      <c r="AQ8" s="55" t="s">
        <v>14</v>
      </c>
      <c r="AR8" s="55">
        <v>2048.0</v>
      </c>
      <c r="AS8" s="55">
        <v>200.0</v>
      </c>
      <c r="AT8" s="55">
        <v>1050.0</v>
      </c>
      <c r="AU8" s="55">
        <v>256.0</v>
      </c>
      <c r="AV8" s="56">
        <v>8192.0</v>
      </c>
      <c r="AW8" s="57">
        <v>3277.0</v>
      </c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</row>
    <row r="9">
      <c r="A9" s="36">
        <v>100043.0</v>
      </c>
      <c r="B9" s="7">
        <v>10.0</v>
      </c>
      <c r="C9" s="7">
        <v>31.0</v>
      </c>
      <c r="D9" s="7">
        <v>0.03</v>
      </c>
      <c r="E9" s="7">
        <v>0.5</v>
      </c>
      <c r="F9" s="7" t="s">
        <v>14</v>
      </c>
      <c r="G9" s="7" t="s">
        <v>14</v>
      </c>
      <c r="H9" s="7">
        <v>2048.0</v>
      </c>
      <c r="I9" s="7">
        <v>200.0</v>
      </c>
      <c r="J9" s="7">
        <v>1100.0</v>
      </c>
      <c r="K9" s="37">
        <f t="shared" si="4"/>
        <v>256</v>
      </c>
      <c r="L9" s="38">
        <v>8192.0</v>
      </c>
      <c r="M9" s="39">
        <v>3207.0</v>
      </c>
      <c r="N9" s="24"/>
      <c r="O9" s="24"/>
      <c r="P9" s="40">
        <f t="shared" si="1"/>
        <v>596</v>
      </c>
      <c r="Q9" s="24"/>
      <c r="R9" s="24"/>
      <c r="S9" s="50">
        <v>100043.0</v>
      </c>
      <c r="T9" s="51">
        <v>10.0</v>
      </c>
      <c r="U9" s="51">
        <v>31.0</v>
      </c>
      <c r="V9" s="51">
        <v>0.03</v>
      </c>
      <c r="W9" s="51">
        <v>0.5</v>
      </c>
      <c r="X9" s="51" t="s">
        <v>14</v>
      </c>
      <c r="Y9" s="51" t="s">
        <v>14</v>
      </c>
      <c r="Z9" s="51">
        <v>2048.0</v>
      </c>
      <c r="AA9" s="51">
        <v>200.0</v>
      </c>
      <c r="AB9" s="51">
        <v>1100.0</v>
      </c>
      <c r="AC9" s="51">
        <v>256.0</v>
      </c>
      <c r="AD9" s="52">
        <v>8192.0</v>
      </c>
      <c r="AE9" s="53">
        <v>3803.0</v>
      </c>
      <c r="AF9" s="45"/>
      <c r="AG9" s="45"/>
      <c r="AH9" s="40">
        <f t="shared" si="2"/>
        <v>-636</v>
      </c>
      <c r="AI9" s="45"/>
      <c r="AJ9" s="45"/>
      <c r="AK9" s="54">
        <v>100043.0</v>
      </c>
      <c r="AL9" s="55">
        <v>10.0</v>
      </c>
      <c r="AM9" s="55">
        <v>31.0</v>
      </c>
      <c r="AN9" s="55">
        <v>0.03</v>
      </c>
      <c r="AO9" s="55">
        <v>0.5</v>
      </c>
      <c r="AP9" s="55" t="s">
        <v>14</v>
      </c>
      <c r="AQ9" s="55" t="s">
        <v>14</v>
      </c>
      <c r="AR9" s="55">
        <v>2048.0</v>
      </c>
      <c r="AS9" s="55">
        <v>200.0</v>
      </c>
      <c r="AT9" s="55">
        <v>1100.0</v>
      </c>
      <c r="AU9" s="55">
        <v>256.0</v>
      </c>
      <c r="AV9" s="56">
        <v>8192.0</v>
      </c>
      <c r="AW9" s="57">
        <v>3167.0</v>
      </c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</row>
    <row r="10">
      <c r="A10" s="36">
        <v>100043.0</v>
      </c>
      <c r="B10" s="7">
        <v>10.0</v>
      </c>
      <c r="C10" s="7">
        <v>31.0</v>
      </c>
      <c r="D10" s="7">
        <v>0.03</v>
      </c>
      <c r="E10" s="7">
        <v>0.5</v>
      </c>
      <c r="F10" s="7" t="s">
        <v>14</v>
      </c>
      <c r="G10" s="7" t="s">
        <v>14</v>
      </c>
      <c r="H10" s="7">
        <v>2048.0</v>
      </c>
      <c r="I10" s="7">
        <v>200.0</v>
      </c>
      <c r="J10" s="7">
        <v>1150.0</v>
      </c>
      <c r="K10" s="37">
        <f t="shared" si="4"/>
        <v>256</v>
      </c>
      <c r="L10" s="37">
        <f t="shared" ref="L10:L13" si="5">L9</f>
        <v>8192</v>
      </c>
      <c r="M10" s="39">
        <v>3058.0</v>
      </c>
      <c r="N10" s="24"/>
      <c r="O10" s="24"/>
      <c r="P10" s="40">
        <f t="shared" si="1"/>
        <v>656</v>
      </c>
      <c r="Q10" s="24"/>
      <c r="R10" s="24"/>
      <c r="S10" s="50">
        <v>100043.0</v>
      </c>
      <c r="T10" s="51">
        <v>10.0</v>
      </c>
      <c r="U10" s="51">
        <v>31.0</v>
      </c>
      <c r="V10" s="51">
        <v>0.03</v>
      </c>
      <c r="W10" s="51">
        <v>0.5</v>
      </c>
      <c r="X10" s="51" t="s">
        <v>14</v>
      </c>
      <c r="Y10" s="51" t="s">
        <v>14</v>
      </c>
      <c r="Z10" s="51">
        <v>2048.0</v>
      </c>
      <c r="AA10" s="51">
        <v>200.0</v>
      </c>
      <c r="AB10" s="51">
        <v>1150.0</v>
      </c>
      <c r="AC10" s="51">
        <v>256.0</v>
      </c>
      <c r="AD10" s="52">
        <v>8192.0</v>
      </c>
      <c r="AE10" s="53">
        <v>3714.0</v>
      </c>
      <c r="AF10" s="45"/>
      <c r="AG10" s="45"/>
      <c r="AH10" s="40">
        <f t="shared" si="2"/>
        <v>-269</v>
      </c>
      <c r="AI10" s="45"/>
      <c r="AJ10" s="45"/>
      <c r="AK10" s="54">
        <v>100043.0</v>
      </c>
      <c r="AL10" s="55">
        <v>10.0</v>
      </c>
      <c r="AM10" s="55">
        <v>31.0</v>
      </c>
      <c r="AN10" s="55">
        <v>0.03</v>
      </c>
      <c r="AO10" s="55">
        <v>0.5</v>
      </c>
      <c r="AP10" s="55" t="s">
        <v>14</v>
      </c>
      <c r="AQ10" s="55" t="s">
        <v>14</v>
      </c>
      <c r="AR10" s="55">
        <v>2048.0</v>
      </c>
      <c r="AS10" s="55">
        <v>200.0</v>
      </c>
      <c r="AT10" s="55">
        <v>1150.0</v>
      </c>
      <c r="AU10" s="55">
        <v>256.0</v>
      </c>
      <c r="AV10" s="56">
        <v>8192.0</v>
      </c>
      <c r="AW10" s="57">
        <v>3445.0</v>
      </c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</row>
    <row r="11">
      <c r="A11" s="36">
        <v>100043.0</v>
      </c>
      <c r="B11" s="7">
        <v>10.0</v>
      </c>
      <c r="C11" s="7">
        <v>31.0</v>
      </c>
      <c r="D11" s="7">
        <v>0.03</v>
      </c>
      <c r="E11" s="7">
        <v>0.5</v>
      </c>
      <c r="F11" s="7" t="s">
        <v>14</v>
      </c>
      <c r="G11" s="7" t="s">
        <v>14</v>
      </c>
      <c r="H11" s="7">
        <v>2048.0</v>
      </c>
      <c r="I11" s="7">
        <v>200.0</v>
      </c>
      <c r="J11" s="7">
        <v>1200.0</v>
      </c>
      <c r="K11" s="37">
        <f t="shared" si="4"/>
        <v>256</v>
      </c>
      <c r="L11" s="37">
        <f t="shared" si="5"/>
        <v>8192</v>
      </c>
      <c r="M11" s="39">
        <v>3356.0</v>
      </c>
      <c r="N11" s="24"/>
      <c r="O11" s="24"/>
      <c r="P11" s="40">
        <f t="shared" si="1"/>
        <v>596</v>
      </c>
      <c r="Q11" s="24"/>
      <c r="R11" s="24"/>
      <c r="S11" s="50">
        <v>100043.0</v>
      </c>
      <c r="T11" s="51">
        <v>10.0</v>
      </c>
      <c r="U11" s="51">
        <v>31.0</v>
      </c>
      <c r="V11" s="51">
        <v>0.03</v>
      </c>
      <c r="W11" s="51">
        <v>0.5</v>
      </c>
      <c r="X11" s="51" t="s">
        <v>14</v>
      </c>
      <c r="Y11" s="51" t="s">
        <v>14</v>
      </c>
      <c r="Z11" s="51">
        <v>2048.0</v>
      </c>
      <c r="AA11" s="51">
        <v>200.0</v>
      </c>
      <c r="AB11" s="51">
        <v>1200.0</v>
      </c>
      <c r="AC11" s="51">
        <v>256.0</v>
      </c>
      <c r="AD11" s="52">
        <v>8192.0</v>
      </c>
      <c r="AE11" s="53">
        <v>3952.0</v>
      </c>
      <c r="AF11" s="45"/>
      <c r="AG11" s="45"/>
      <c r="AH11" s="40">
        <f t="shared" si="2"/>
        <v>-258</v>
      </c>
      <c r="AI11" s="45"/>
      <c r="AJ11" s="45"/>
      <c r="AK11" s="54">
        <v>100043.0</v>
      </c>
      <c r="AL11" s="55">
        <v>10.0</v>
      </c>
      <c r="AM11" s="55">
        <v>31.0</v>
      </c>
      <c r="AN11" s="55">
        <v>0.03</v>
      </c>
      <c r="AO11" s="55">
        <v>0.5</v>
      </c>
      <c r="AP11" s="55" t="s">
        <v>14</v>
      </c>
      <c r="AQ11" s="55" t="s">
        <v>14</v>
      </c>
      <c r="AR11" s="55">
        <v>2048.0</v>
      </c>
      <c r="AS11" s="55">
        <v>200.0</v>
      </c>
      <c r="AT11" s="55">
        <v>1200.0</v>
      </c>
      <c r="AU11" s="55">
        <v>256.0</v>
      </c>
      <c r="AV11" s="56">
        <v>8192.0</v>
      </c>
      <c r="AW11" s="57">
        <v>3694.0</v>
      </c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</row>
    <row r="12">
      <c r="A12" s="36">
        <v>100043.0</v>
      </c>
      <c r="B12" s="7">
        <v>10.0</v>
      </c>
      <c r="C12" s="7">
        <v>31.0</v>
      </c>
      <c r="D12" s="7">
        <v>0.03</v>
      </c>
      <c r="E12" s="7">
        <v>0.5</v>
      </c>
      <c r="F12" s="7" t="s">
        <v>14</v>
      </c>
      <c r="G12" s="7" t="s">
        <v>14</v>
      </c>
      <c r="H12" s="7">
        <v>2048.0</v>
      </c>
      <c r="I12" s="7">
        <v>200.0</v>
      </c>
      <c r="J12" s="7">
        <v>1250.0</v>
      </c>
      <c r="K12" s="37">
        <f t="shared" si="4"/>
        <v>256</v>
      </c>
      <c r="L12" s="37">
        <f t="shared" si="5"/>
        <v>8192</v>
      </c>
      <c r="M12" s="39">
        <v>3157.0</v>
      </c>
      <c r="N12" s="24"/>
      <c r="O12" s="24"/>
      <c r="P12" s="40">
        <f t="shared" si="1"/>
        <v>1083</v>
      </c>
      <c r="Q12" s="24"/>
      <c r="R12" s="24"/>
      <c r="S12" s="50">
        <v>100043.0</v>
      </c>
      <c r="T12" s="51">
        <v>10.0</v>
      </c>
      <c r="U12" s="51">
        <v>31.0</v>
      </c>
      <c r="V12" s="51">
        <v>0.03</v>
      </c>
      <c r="W12" s="51">
        <v>0.5</v>
      </c>
      <c r="X12" s="51" t="s">
        <v>14</v>
      </c>
      <c r="Y12" s="51" t="s">
        <v>14</v>
      </c>
      <c r="Z12" s="51">
        <v>2048.0</v>
      </c>
      <c r="AA12" s="51">
        <v>200.0</v>
      </c>
      <c r="AB12" s="51">
        <v>1250.0</v>
      </c>
      <c r="AC12" s="51">
        <v>256.0</v>
      </c>
      <c r="AD12" s="52">
        <v>8192.0</v>
      </c>
      <c r="AE12" s="53">
        <v>4240.0</v>
      </c>
      <c r="AF12" s="45"/>
      <c r="AG12" s="45"/>
      <c r="AH12" s="40">
        <f t="shared" si="2"/>
        <v>-288</v>
      </c>
      <c r="AI12" s="45"/>
      <c r="AJ12" s="45"/>
      <c r="AK12" s="54">
        <v>100043.0</v>
      </c>
      <c r="AL12" s="55">
        <v>10.0</v>
      </c>
      <c r="AM12" s="55">
        <v>31.0</v>
      </c>
      <c r="AN12" s="55">
        <v>0.03</v>
      </c>
      <c r="AO12" s="55">
        <v>0.5</v>
      </c>
      <c r="AP12" s="55" t="s">
        <v>14</v>
      </c>
      <c r="AQ12" s="55" t="s">
        <v>14</v>
      </c>
      <c r="AR12" s="55">
        <v>2048.0</v>
      </c>
      <c r="AS12" s="55">
        <v>200.0</v>
      </c>
      <c r="AT12" s="55">
        <v>1250.0</v>
      </c>
      <c r="AU12" s="55">
        <v>256.0</v>
      </c>
      <c r="AV12" s="56">
        <v>8192.0</v>
      </c>
      <c r="AW12" s="57">
        <v>3952.0</v>
      </c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</row>
    <row r="13">
      <c r="A13" s="36">
        <v>100043.0</v>
      </c>
      <c r="B13" s="7">
        <v>10.0</v>
      </c>
      <c r="C13" s="7">
        <v>31.0</v>
      </c>
      <c r="D13" s="7">
        <v>0.03</v>
      </c>
      <c r="E13" s="7">
        <v>0.5</v>
      </c>
      <c r="F13" s="7" t="s">
        <v>14</v>
      </c>
      <c r="G13" s="7" t="s">
        <v>14</v>
      </c>
      <c r="H13" s="7">
        <v>2048.0</v>
      </c>
      <c r="I13" s="7">
        <v>200.0</v>
      </c>
      <c r="J13" s="7">
        <v>1300.0</v>
      </c>
      <c r="K13" s="37">
        <f t="shared" si="4"/>
        <v>256</v>
      </c>
      <c r="L13" s="37">
        <f t="shared" si="5"/>
        <v>8192</v>
      </c>
      <c r="M13" s="39">
        <v>2999.0</v>
      </c>
      <c r="N13" s="24"/>
      <c r="O13" s="24"/>
      <c r="P13" s="40">
        <f t="shared" si="1"/>
        <v>1509</v>
      </c>
      <c r="Q13" s="24"/>
      <c r="R13" s="24"/>
      <c r="S13" s="50">
        <v>100043.0</v>
      </c>
      <c r="T13" s="58">
        <v>10.0</v>
      </c>
      <c r="U13" s="58">
        <v>31.0</v>
      </c>
      <c r="V13" s="58">
        <v>0.03</v>
      </c>
      <c r="W13" s="58">
        <v>0.5</v>
      </c>
      <c r="X13" s="58" t="s">
        <v>14</v>
      </c>
      <c r="Y13" s="58" t="s">
        <v>14</v>
      </c>
      <c r="Z13" s="58">
        <v>2048.0</v>
      </c>
      <c r="AA13" s="58">
        <v>200.0</v>
      </c>
      <c r="AB13" s="58">
        <v>1300.0</v>
      </c>
      <c r="AC13" s="58">
        <v>256.0</v>
      </c>
      <c r="AD13" s="59">
        <v>8192.0</v>
      </c>
      <c r="AE13" s="53">
        <v>4508.0</v>
      </c>
      <c r="AF13" s="45"/>
      <c r="AG13" s="45"/>
      <c r="AH13" s="40">
        <f t="shared" si="2"/>
        <v>-715</v>
      </c>
      <c r="AI13" s="45"/>
      <c r="AJ13" s="45"/>
      <c r="AK13" s="54">
        <v>100043.0</v>
      </c>
      <c r="AL13" s="60">
        <v>10.0</v>
      </c>
      <c r="AM13" s="60">
        <v>31.0</v>
      </c>
      <c r="AN13" s="60">
        <v>0.03</v>
      </c>
      <c r="AO13" s="60">
        <v>0.5</v>
      </c>
      <c r="AP13" s="60" t="s">
        <v>14</v>
      </c>
      <c r="AQ13" s="60" t="s">
        <v>14</v>
      </c>
      <c r="AR13" s="60">
        <v>2048.0</v>
      </c>
      <c r="AS13" s="60">
        <v>200.0</v>
      </c>
      <c r="AT13" s="60">
        <v>1300.0</v>
      </c>
      <c r="AU13" s="60">
        <v>256.0</v>
      </c>
      <c r="AV13" s="61">
        <v>8192.0</v>
      </c>
      <c r="AW13" s="57">
        <v>3793.0</v>
      </c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</row>
    <row r="14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62"/>
      <c r="N14" s="24"/>
      <c r="O14" s="24"/>
      <c r="P14" s="63">
        <f>SUM(P3:P13)</f>
        <v>13866</v>
      </c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62">
        <f>SUM(AE3:AE13)</f>
        <v>44236</v>
      </c>
      <c r="AF14" s="62"/>
      <c r="AG14" s="64" t="s">
        <v>34</v>
      </c>
      <c r="AH14" s="63">
        <f>SUM(AH3:AH13)</f>
        <v>-4866</v>
      </c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>
        <f>SUM(AW3:AW13)</f>
        <v>39370</v>
      </c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</row>
    <row r="1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62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</row>
    <row r="16">
      <c r="A16" s="30" t="s">
        <v>0</v>
      </c>
      <c r="B16" s="30" t="s">
        <v>1</v>
      </c>
      <c r="C16" s="30" t="s">
        <v>2</v>
      </c>
      <c r="D16" s="30" t="s">
        <v>3</v>
      </c>
      <c r="E16" s="30" t="s">
        <v>4</v>
      </c>
      <c r="F16" s="30" t="s">
        <v>5</v>
      </c>
      <c r="G16" s="30" t="s">
        <v>6</v>
      </c>
      <c r="H16" s="30" t="s">
        <v>7</v>
      </c>
      <c r="I16" s="30" t="s">
        <v>8</v>
      </c>
      <c r="J16" s="30" t="s">
        <v>9</v>
      </c>
      <c r="K16" s="31" t="s">
        <v>10</v>
      </c>
      <c r="L16" s="31" t="s">
        <v>11</v>
      </c>
      <c r="M16" s="32" t="s">
        <v>12</v>
      </c>
      <c r="N16" s="24"/>
      <c r="O16" s="24"/>
      <c r="P16" s="33" t="s">
        <v>33</v>
      </c>
      <c r="Q16" s="24"/>
      <c r="R16" s="24"/>
      <c r="S16" s="34" t="s">
        <v>0</v>
      </c>
      <c r="T16" s="34" t="s">
        <v>1</v>
      </c>
      <c r="U16" s="34" t="s">
        <v>2</v>
      </c>
      <c r="V16" s="34" t="s">
        <v>3</v>
      </c>
      <c r="W16" s="34" t="s">
        <v>4</v>
      </c>
      <c r="X16" s="34" t="s">
        <v>5</v>
      </c>
      <c r="Y16" s="34" t="s">
        <v>6</v>
      </c>
      <c r="Z16" s="34" t="s">
        <v>7</v>
      </c>
      <c r="AA16" s="34" t="s">
        <v>8</v>
      </c>
      <c r="AB16" s="34" t="s">
        <v>9</v>
      </c>
      <c r="AC16" s="34" t="s">
        <v>10</v>
      </c>
      <c r="AD16" s="34" t="s">
        <v>11</v>
      </c>
      <c r="AE16" s="35" t="s">
        <v>12</v>
      </c>
      <c r="AF16" s="27"/>
      <c r="AG16" s="27"/>
      <c r="AH16" s="33" t="s">
        <v>33</v>
      </c>
      <c r="AI16" s="27"/>
      <c r="AJ16" s="27"/>
      <c r="AK16" s="34" t="s">
        <v>0</v>
      </c>
      <c r="AL16" s="34" t="s">
        <v>1</v>
      </c>
      <c r="AM16" s="34" t="s">
        <v>2</v>
      </c>
      <c r="AN16" s="34" t="s">
        <v>3</v>
      </c>
      <c r="AO16" s="34" t="s">
        <v>4</v>
      </c>
      <c r="AP16" s="34" t="s">
        <v>5</v>
      </c>
      <c r="AQ16" s="34" t="s">
        <v>6</v>
      </c>
      <c r="AR16" s="34" t="s">
        <v>7</v>
      </c>
      <c r="AS16" s="34" t="s">
        <v>8</v>
      </c>
      <c r="AT16" s="34" t="s">
        <v>9</v>
      </c>
      <c r="AU16" s="34" t="s">
        <v>10</v>
      </c>
      <c r="AV16" s="34" t="s">
        <v>11</v>
      </c>
      <c r="AW16" s="35" t="s">
        <v>12</v>
      </c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</row>
    <row r="17">
      <c r="A17" s="7">
        <v>200029.0</v>
      </c>
      <c r="B17" s="7">
        <v>10.0</v>
      </c>
      <c r="C17" s="7">
        <v>31.0</v>
      </c>
      <c r="D17" s="7">
        <v>0.03</v>
      </c>
      <c r="E17" s="7">
        <v>0.5</v>
      </c>
      <c r="F17" s="7" t="s">
        <v>14</v>
      </c>
      <c r="G17" s="7" t="s">
        <v>14</v>
      </c>
      <c r="H17" s="7">
        <v>2048.0</v>
      </c>
      <c r="I17" s="7">
        <v>200.0</v>
      </c>
      <c r="J17" s="7">
        <v>800.0</v>
      </c>
      <c r="K17" s="37">
        <v>256.0</v>
      </c>
      <c r="L17" s="38">
        <v>8192.0</v>
      </c>
      <c r="M17" s="39">
        <v>3684.0</v>
      </c>
      <c r="N17" s="24"/>
      <c r="O17" s="24"/>
      <c r="P17" s="40">
        <f t="shared" ref="P17:P27" si="6">AE17-M17</f>
        <v>-199</v>
      </c>
      <c r="Q17" s="24"/>
      <c r="R17" s="24"/>
      <c r="S17" s="51">
        <v>200029.0</v>
      </c>
      <c r="T17" s="42">
        <v>10.0</v>
      </c>
      <c r="U17" s="42">
        <v>31.0</v>
      </c>
      <c r="V17" s="42">
        <v>0.03</v>
      </c>
      <c r="W17" s="42">
        <v>0.5</v>
      </c>
      <c r="X17" s="42" t="s">
        <v>14</v>
      </c>
      <c r="Y17" s="42" t="s">
        <v>14</v>
      </c>
      <c r="Z17" s="42">
        <v>2048.0</v>
      </c>
      <c r="AA17" s="42">
        <v>200.0</v>
      </c>
      <c r="AB17" s="42">
        <v>800.0</v>
      </c>
      <c r="AC17" s="42">
        <v>256.0</v>
      </c>
      <c r="AD17" s="43">
        <v>8192.0</v>
      </c>
      <c r="AE17" s="44">
        <v>3485.0</v>
      </c>
      <c r="AF17" s="45"/>
      <c r="AG17" s="45"/>
      <c r="AH17" s="40">
        <f t="shared" ref="AH17:AH27" si="7">AW17-AE17</f>
        <v>477</v>
      </c>
      <c r="AI17" s="45"/>
      <c r="AJ17" s="65" t="s">
        <v>35</v>
      </c>
      <c r="AK17" s="55">
        <v>200029.0</v>
      </c>
      <c r="AL17" s="47">
        <v>10.0</v>
      </c>
      <c r="AM17" s="47">
        <v>31.0</v>
      </c>
      <c r="AN17" s="47">
        <v>0.03</v>
      </c>
      <c r="AO17" s="47">
        <v>0.5</v>
      </c>
      <c r="AP17" s="47" t="s">
        <v>14</v>
      </c>
      <c r="AQ17" s="47" t="s">
        <v>14</v>
      </c>
      <c r="AR17" s="47">
        <v>2048.0</v>
      </c>
      <c r="AS17" s="47">
        <v>200.0</v>
      </c>
      <c r="AT17" s="47">
        <v>800.0</v>
      </c>
      <c r="AU17" s="47">
        <v>256.0</v>
      </c>
      <c r="AV17" s="48">
        <v>8192.0</v>
      </c>
      <c r="AW17" s="49">
        <v>3962.0</v>
      </c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</row>
    <row r="18">
      <c r="A18" s="7">
        <v>200029.0</v>
      </c>
      <c r="B18" s="7">
        <v>10.0</v>
      </c>
      <c r="C18" s="7">
        <v>31.0</v>
      </c>
      <c r="D18" s="7">
        <v>0.03</v>
      </c>
      <c r="E18" s="7">
        <v>0.5</v>
      </c>
      <c r="F18" s="7" t="s">
        <v>14</v>
      </c>
      <c r="G18" s="7" t="s">
        <v>14</v>
      </c>
      <c r="H18" s="7">
        <v>2048.0</v>
      </c>
      <c r="I18" s="7">
        <v>200.0</v>
      </c>
      <c r="J18" s="7">
        <v>850.0</v>
      </c>
      <c r="K18" s="37">
        <f t="shared" ref="K18:K19" si="8">K17</f>
        <v>256</v>
      </c>
      <c r="L18" s="38">
        <v>8192.0</v>
      </c>
      <c r="M18" s="39">
        <v>3545.0</v>
      </c>
      <c r="N18" s="24"/>
      <c r="O18" s="24"/>
      <c r="P18" s="40">
        <f t="shared" si="6"/>
        <v>208</v>
      </c>
      <c r="Q18" s="24"/>
      <c r="R18" s="24"/>
      <c r="S18" s="51">
        <v>200029.0</v>
      </c>
      <c r="T18" s="51">
        <v>10.0</v>
      </c>
      <c r="U18" s="51">
        <v>31.0</v>
      </c>
      <c r="V18" s="51">
        <v>0.03</v>
      </c>
      <c r="W18" s="51">
        <v>0.5</v>
      </c>
      <c r="X18" s="51" t="s">
        <v>14</v>
      </c>
      <c r="Y18" s="51" t="s">
        <v>14</v>
      </c>
      <c r="Z18" s="51">
        <v>2048.0</v>
      </c>
      <c r="AA18" s="51">
        <v>200.0</v>
      </c>
      <c r="AB18" s="51">
        <v>850.0</v>
      </c>
      <c r="AC18" s="51">
        <v>256.0</v>
      </c>
      <c r="AD18" s="52">
        <v>8192.0</v>
      </c>
      <c r="AE18" s="53">
        <v>3753.0</v>
      </c>
      <c r="AF18" s="45"/>
      <c r="AG18" s="45"/>
      <c r="AH18" s="40">
        <f t="shared" si="7"/>
        <v>60</v>
      </c>
      <c r="AI18" s="45"/>
      <c r="AK18" s="55">
        <v>200029.0</v>
      </c>
      <c r="AL18" s="55">
        <v>10.0</v>
      </c>
      <c r="AM18" s="55">
        <v>31.0</v>
      </c>
      <c r="AN18" s="55">
        <v>0.03</v>
      </c>
      <c r="AO18" s="55">
        <v>0.5</v>
      </c>
      <c r="AP18" s="55" t="s">
        <v>14</v>
      </c>
      <c r="AQ18" s="55" t="s">
        <v>14</v>
      </c>
      <c r="AR18" s="55">
        <v>2048.0</v>
      </c>
      <c r="AS18" s="55">
        <v>200.0</v>
      </c>
      <c r="AT18" s="55">
        <v>850.0</v>
      </c>
      <c r="AU18" s="55">
        <v>256.0</v>
      </c>
      <c r="AV18" s="56">
        <v>8192.0</v>
      </c>
      <c r="AW18" s="57">
        <v>3813.0</v>
      </c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</row>
    <row r="19">
      <c r="A19" s="7">
        <v>200029.0</v>
      </c>
      <c r="B19" s="7">
        <v>10.0</v>
      </c>
      <c r="C19" s="7">
        <v>31.0</v>
      </c>
      <c r="D19" s="7">
        <v>0.03</v>
      </c>
      <c r="E19" s="7">
        <v>0.5</v>
      </c>
      <c r="F19" s="7" t="s">
        <v>14</v>
      </c>
      <c r="G19" s="7" t="s">
        <v>14</v>
      </c>
      <c r="H19" s="7">
        <v>2048.0</v>
      </c>
      <c r="I19" s="7">
        <v>200.0</v>
      </c>
      <c r="J19" s="7">
        <v>900.0</v>
      </c>
      <c r="K19" s="37">
        <f t="shared" si="8"/>
        <v>256</v>
      </c>
      <c r="L19" s="38">
        <v>8192.0</v>
      </c>
      <c r="M19" s="39">
        <v>3783.0</v>
      </c>
      <c r="N19" s="24"/>
      <c r="O19" s="24"/>
      <c r="P19" s="40">
        <f t="shared" si="6"/>
        <v>-149</v>
      </c>
      <c r="Q19" s="24"/>
      <c r="R19" s="24"/>
      <c r="S19" s="51">
        <v>200029.0</v>
      </c>
      <c r="T19" s="51">
        <v>10.0</v>
      </c>
      <c r="U19" s="51">
        <v>31.0</v>
      </c>
      <c r="V19" s="51">
        <v>0.03</v>
      </c>
      <c r="W19" s="51">
        <v>0.5</v>
      </c>
      <c r="X19" s="51" t="s">
        <v>14</v>
      </c>
      <c r="Y19" s="51" t="s">
        <v>14</v>
      </c>
      <c r="Z19" s="51">
        <v>2048.0</v>
      </c>
      <c r="AA19" s="51">
        <v>200.0</v>
      </c>
      <c r="AB19" s="51">
        <v>900.0</v>
      </c>
      <c r="AC19" s="51">
        <v>256.0</v>
      </c>
      <c r="AD19" s="52">
        <v>8192.0</v>
      </c>
      <c r="AE19" s="53">
        <v>3634.0</v>
      </c>
      <c r="AF19" s="45"/>
      <c r="AG19" s="45"/>
      <c r="AH19" s="40">
        <f t="shared" si="7"/>
        <v>10</v>
      </c>
      <c r="AI19" s="45"/>
      <c r="AK19" s="55">
        <v>200029.0</v>
      </c>
      <c r="AL19" s="55">
        <v>10.0</v>
      </c>
      <c r="AM19" s="55">
        <v>31.0</v>
      </c>
      <c r="AN19" s="55">
        <v>0.03</v>
      </c>
      <c r="AO19" s="55">
        <v>0.5</v>
      </c>
      <c r="AP19" s="55" t="s">
        <v>14</v>
      </c>
      <c r="AQ19" s="55" t="s">
        <v>14</v>
      </c>
      <c r="AR19" s="55">
        <v>2048.0</v>
      </c>
      <c r="AS19" s="55">
        <v>200.0</v>
      </c>
      <c r="AT19" s="55">
        <v>900.0</v>
      </c>
      <c r="AU19" s="55">
        <v>256.0</v>
      </c>
      <c r="AV19" s="56">
        <v>8192.0</v>
      </c>
      <c r="AW19" s="57">
        <v>3644.0</v>
      </c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</row>
    <row r="20">
      <c r="A20" s="7">
        <v>200029.0</v>
      </c>
      <c r="B20" s="7">
        <v>10.0</v>
      </c>
      <c r="C20" s="7">
        <v>31.0</v>
      </c>
      <c r="D20" s="7">
        <v>0.03</v>
      </c>
      <c r="E20" s="7">
        <v>0.5</v>
      </c>
      <c r="F20" s="7" t="s">
        <v>14</v>
      </c>
      <c r="G20" s="7" t="s">
        <v>14</v>
      </c>
      <c r="H20" s="7">
        <v>2048.0</v>
      </c>
      <c r="I20" s="7">
        <v>200.0</v>
      </c>
      <c r="J20" s="7">
        <v>950.0</v>
      </c>
      <c r="K20" s="37">
        <v>256.0</v>
      </c>
      <c r="L20" s="38">
        <v>8192.0</v>
      </c>
      <c r="M20" s="39">
        <v>4071.0</v>
      </c>
      <c r="N20" s="24"/>
      <c r="O20" s="24"/>
      <c r="P20" s="40">
        <f t="shared" si="6"/>
        <v>-218</v>
      </c>
      <c r="Q20" s="24"/>
      <c r="R20" s="24"/>
      <c r="S20" s="51">
        <v>200029.0</v>
      </c>
      <c r="T20" s="51">
        <v>10.0</v>
      </c>
      <c r="U20" s="51">
        <v>31.0</v>
      </c>
      <c r="V20" s="51">
        <v>0.03</v>
      </c>
      <c r="W20" s="51">
        <v>0.5</v>
      </c>
      <c r="X20" s="51" t="s">
        <v>14</v>
      </c>
      <c r="Y20" s="51" t="s">
        <v>14</v>
      </c>
      <c r="Z20" s="51">
        <v>2048.0</v>
      </c>
      <c r="AA20" s="51">
        <v>200.0</v>
      </c>
      <c r="AB20" s="51">
        <v>950.0</v>
      </c>
      <c r="AC20" s="51">
        <v>256.0</v>
      </c>
      <c r="AD20" s="52">
        <v>8192.0</v>
      </c>
      <c r="AE20" s="53">
        <v>3853.0</v>
      </c>
      <c r="AF20" s="45"/>
      <c r="AG20" s="45"/>
      <c r="AH20" s="40">
        <f t="shared" si="7"/>
        <v>-20</v>
      </c>
      <c r="AI20" s="45"/>
      <c r="AK20" s="55">
        <v>200029.0</v>
      </c>
      <c r="AL20" s="55">
        <v>10.0</v>
      </c>
      <c r="AM20" s="55">
        <v>31.0</v>
      </c>
      <c r="AN20" s="55">
        <v>0.03</v>
      </c>
      <c r="AO20" s="55">
        <v>0.5</v>
      </c>
      <c r="AP20" s="55" t="s">
        <v>14</v>
      </c>
      <c r="AQ20" s="55" t="s">
        <v>14</v>
      </c>
      <c r="AR20" s="55">
        <v>2048.0</v>
      </c>
      <c r="AS20" s="55">
        <v>200.0</v>
      </c>
      <c r="AT20" s="55">
        <v>950.0</v>
      </c>
      <c r="AU20" s="55">
        <v>256.0</v>
      </c>
      <c r="AV20" s="56">
        <v>8192.0</v>
      </c>
      <c r="AW20" s="57">
        <v>3833.0</v>
      </c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</row>
    <row r="21">
      <c r="A21" s="7">
        <v>200029.0</v>
      </c>
      <c r="B21" s="7">
        <v>10.0</v>
      </c>
      <c r="C21" s="7">
        <v>31.0</v>
      </c>
      <c r="D21" s="7">
        <v>0.03</v>
      </c>
      <c r="E21" s="7">
        <v>0.5</v>
      </c>
      <c r="F21" s="7" t="s">
        <v>14</v>
      </c>
      <c r="G21" s="7" t="s">
        <v>14</v>
      </c>
      <c r="H21" s="7">
        <v>2048.0</v>
      </c>
      <c r="I21" s="7">
        <v>200.0</v>
      </c>
      <c r="J21" s="7">
        <v>1000.0</v>
      </c>
      <c r="K21" s="37">
        <f t="shared" ref="K21:K27" si="9">K20</f>
        <v>256</v>
      </c>
      <c r="L21" s="38">
        <v>8192.0</v>
      </c>
      <c r="M21" s="39">
        <v>3922.0</v>
      </c>
      <c r="N21" s="24"/>
      <c r="O21" s="24"/>
      <c r="P21" s="40">
        <f t="shared" si="6"/>
        <v>228</v>
      </c>
      <c r="Q21" s="24"/>
      <c r="R21" s="24"/>
      <c r="S21" s="51">
        <v>200029.0</v>
      </c>
      <c r="T21" s="51">
        <v>10.0</v>
      </c>
      <c r="U21" s="51">
        <v>31.0</v>
      </c>
      <c r="V21" s="51">
        <v>0.03</v>
      </c>
      <c r="W21" s="51">
        <v>0.5</v>
      </c>
      <c r="X21" s="51" t="s">
        <v>14</v>
      </c>
      <c r="Y21" s="51" t="s">
        <v>14</v>
      </c>
      <c r="Z21" s="51">
        <v>2048.0</v>
      </c>
      <c r="AA21" s="51">
        <v>200.0</v>
      </c>
      <c r="AB21" s="51">
        <v>1000.0</v>
      </c>
      <c r="AC21" s="51">
        <v>256.0</v>
      </c>
      <c r="AD21" s="52">
        <v>8192.0</v>
      </c>
      <c r="AE21" s="53">
        <v>4150.0</v>
      </c>
      <c r="AF21" s="45"/>
      <c r="AG21" s="45"/>
      <c r="AH21" s="40">
        <f t="shared" si="7"/>
        <v>398</v>
      </c>
      <c r="AI21" s="45"/>
      <c r="AK21" s="55">
        <v>200029.0</v>
      </c>
      <c r="AL21" s="55">
        <v>10.0</v>
      </c>
      <c r="AM21" s="55">
        <v>31.0</v>
      </c>
      <c r="AN21" s="55">
        <v>0.03</v>
      </c>
      <c r="AO21" s="55">
        <v>0.5</v>
      </c>
      <c r="AP21" s="55" t="s">
        <v>14</v>
      </c>
      <c r="AQ21" s="55" t="s">
        <v>14</v>
      </c>
      <c r="AR21" s="55">
        <v>2048.0</v>
      </c>
      <c r="AS21" s="55">
        <v>200.0</v>
      </c>
      <c r="AT21" s="55">
        <v>1000.0</v>
      </c>
      <c r="AU21" s="55">
        <v>256.0</v>
      </c>
      <c r="AV21" s="56">
        <v>8192.0</v>
      </c>
      <c r="AW21" s="57">
        <v>4548.0</v>
      </c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</row>
    <row r="22">
      <c r="A22" s="7">
        <v>200029.0</v>
      </c>
      <c r="B22" s="7">
        <v>10.0</v>
      </c>
      <c r="C22" s="7">
        <v>31.0</v>
      </c>
      <c r="D22" s="7">
        <v>0.03</v>
      </c>
      <c r="E22" s="7">
        <v>0.5</v>
      </c>
      <c r="F22" s="7" t="s">
        <v>14</v>
      </c>
      <c r="G22" s="7" t="s">
        <v>14</v>
      </c>
      <c r="H22" s="7">
        <v>2048.0</v>
      </c>
      <c r="I22" s="7">
        <v>200.0</v>
      </c>
      <c r="J22" s="7">
        <v>1050.0</v>
      </c>
      <c r="K22" s="37">
        <f t="shared" si="9"/>
        <v>256</v>
      </c>
      <c r="L22" s="38">
        <v>8192.0</v>
      </c>
      <c r="M22" s="39">
        <v>4160.0</v>
      </c>
      <c r="N22" s="24"/>
      <c r="O22" s="24"/>
      <c r="P22" s="40">
        <f t="shared" si="6"/>
        <v>-149</v>
      </c>
      <c r="Q22" s="24"/>
      <c r="R22" s="24"/>
      <c r="S22" s="51">
        <v>200029.0</v>
      </c>
      <c r="T22" s="51">
        <v>10.0</v>
      </c>
      <c r="U22" s="51">
        <v>31.0</v>
      </c>
      <c r="V22" s="51">
        <v>0.03</v>
      </c>
      <c r="W22" s="51">
        <v>0.5</v>
      </c>
      <c r="X22" s="51" t="s">
        <v>14</v>
      </c>
      <c r="Y22" s="51" t="s">
        <v>14</v>
      </c>
      <c r="Z22" s="51">
        <v>2048.0</v>
      </c>
      <c r="AA22" s="51">
        <v>200.0</v>
      </c>
      <c r="AB22" s="51">
        <v>1050.0</v>
      </c>
      <c r="AC22" s="51">
        <v>256.0</v>
      </c>
      <c r="AD22" s="52">
        <v>8192.0</v>
      </c>
      <c r="AE22" s="53">
        <v>4011.0</v>
      </c>
      <c r="AF22" s="45"/>
      <c r="AG22" s="45"/>
      <c r="AH22" s="40">
        <f t="shared" si="7"/>
        <v>457</v>
      </c>
      <c r="AI22" s="45"/>
      <c r="AK22" s="55">
        <v>200029.0</v>
      </c>
      <c r="AL22" s="55">
        <v>10.0</v>
      </c>
      <c r="AM22" s="55">
        <v>31.0</v>
      </c>
      <c r="AN22" s="55">
        <v>0.03</v>
      </c>
      <c r="AO22" s="55">
        <v>0.5</v>
      </c>
      <c r="AP22" s="55" t="s">
        <v>14</v>
      </c>
      <c r="AQ22" s="55" t="s">
        <v>14</v>
      </c>
      <c r="AR22" s="55">
        <v>2048.0</v>
      </c>
      <c r="AS22" s="55">
        <v>200.0</v>
      </c>
      <c r="AT22" s="55">
        <v>1050.0</v>
      </c>
      <c r="AU22" s="55">
        <v>256.0</v>
      </c>
      <c r="AV22" s="56">
        <v>8192.0</v>
      </c>
      <c r="AW22" s="57">
        <v>4468.0</v>
      </c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</row>
    <row r="23">
      <c r="A23" s="7">
        <v>200029.0</v>
      </c>
      <c r="B23" s="7">
        <v>10.0</v>
      </c>
      <c r="C23" s="7">
        <v>31.0</v>
      </c>
      <c r="D23" s="7">
        <v>0.03</v>
      </c>
      <c r="E23" s="7">
        <v>0.5</v>
      </c>
      <c r="F23" s="7" t="s">
        <v>14</v>
      </c>
      <c r="G23" s="7" t="s">
        <v>14</v>
      </c>
      <c r="H23" s="7">
        <v>2048.0</v>
      </c>
      <c r="I23" s="7">
        <v>200.0</v>
      </c>
      <c r="J23" s="7">
        <v>1100.0</v>
      </c>
      <c r="K23" s="37">
        <f t="shared" si="9"/>
        <v>256</v>
      </c>
      <c r="L23" s="38">
        <v>8192.0</v>
      </c>
      <c r="M23" s="39">
        <v>4011.0</v>
      </c>
      <c r="N23" s="24"/>
      <c r="O23" s="24"/>
      <c r="P23" s="40">
        <f t="shared" si="6"/>
        <v>279</v>
      </c>
      <c r="Q23" s="24"/>
      <c r="R23" s="24"/>
      <c r="S23" s="51">
        <v>200029.0</v>
      </c>
      <c r="T23" s="51">
        <v>10.0</v>
      </c>
      <c r="U23" s="51">
        <v>31.0</v>
      </c>
      <c r="V23" s="51">
        <v>0.03</v>
      </c>
      <c r="W23" s="51">
        <v>0.5</v>
      </c>
      <c r="X23" s="51" t="s">
        <v>14</v>
      </c>
      <c r="Y23" s="51" t="s">
        <v>14</v>
      </c>
      <c r="Z23" s="51">
        <v>2048.0</v>
      </c>
      <c r="AA23" s="51">
        <v>200.0</v>
      </c>
      <c r="AB23" s="51">
        <v>1100.0</v>
      </c>
      <c r="AC23" s="51">
        <v>256.0</v>
      </c>
      <c r="AD23" s="52">
        <v>8192.0</v>
      </c>
      <c r="AE23" s="53">
        <v>4290.0</v>
      </c>
      <c r="AF23" s="45"/>
      <c r="AG23" s="45"/>
      <c r="AH23" s="40">
        <f t="shared" si="7"/>
        <v>59</v>
      </c>
      <c r="AI23" s="45"/>
      <c r="AK23" s="55">
        <v>200029.0</v>
      </c>
      <c r="AL23" s="55">
        <v>10.0</v>
      </c>
      <c r="AM23" s="55">
        <v>31.0</v>
      </c>
      <c r="AN23" s="55">
        <v>0.03</v>
      </c>
      <c r="AO23" s="55">
        <v>0.5</v>
      </c>
      <c r="AP23" s="55" t="s">
        <v>14</v>
      </c>
      <c r="AQ23" s="55" t="s">
        <v>14</v>
      </c>
      <c r="AR23" s="55">
        <v>2048.0</v>
      </c>
      <c r="AS23" s="55">
        <v>200.0</v>
      </c>
      <c r="AT23" s="55">
        <v>1100.0</v>
      </c>
      <c r="AU23" s="55">
        <v>256.0</v>
      </c>
      <c r="AV23" s="56">
        <v>8192.0</v>
      </c>
      <c r="AW23" s="57">
        <v>4349.0</v>
      </c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  <c r="BN23" s="45"/>
    </row>
    <row r="24">
      <c r="A24" s="7">
        <v>200029.0</v>
      </c>
      <c r="B24" s="7">
        <v>10.0</v>
      </c>
      <c r="C24" s="7">
        <v>31.0</v>
      </c>
      <c r="D24" s="7">
        <v>0.03</v>
      </c>
      <c r="E24" s="7">
        <v>0.5</v>
      </c>
      <c r="F24" s="7" t="s">
        <v>14</v>
      </c>
      <c r="G24" s="7" t="s">
        <v>14</v>
      </c>
      <c r="H24" s="7">
        <v>2048.0</v>
      </c>
      <c r="I24" s="7">
        <v>200.0</v>
      </c>
      <c r="J24" s="7">
        <v>1150.0</v>
      </c>
      <c r="K24" s="37">
        <f t="shared" si="9"/>
        <v>256</v>
      </c>
      <c r="L24" s="37">
        <f t="shared" ref="L24:L27" si="10">L23</f>
        <v>8192</v>
      </c>
      <c r="M24" s="39">
        <v>3863.0</v>
      </c>
      <c r="N24" s="24"/>
      <c r="O24" s="24"/>
      <c r="P24" s="40">
        <f t="shared" si="6"/>
        <v>287</v>
      </c>
      <c r="Q24" s="24"/>
      <c r="R24" s="24"/>
      <c r="S24" s="51">
        <v>200029.0</v>
      </c>
      <c r="T24" s="51">
        <v>10.0</v>
      </c>
      <c r="U24" s="51">
        <v>31.0</v>
      </c>
      <c r="V24" s="51">
        <v>0.03</v>
      </c>
      <c r="W24" s="51">
        <v>0.5</v>
      </c>
      <c r="X24" s="51" t="s">
        <v>14</v>
      </c>
      <c r="Y24" s="51" t="s">
        <v>14</v>
      </c>
      <c r="Z24" s="51">
        <v>2048.0</v>
      </c>
      <c r="AA24" s="51">
        <v>200.0</v>
      </c>
      <c r="AB24" s="51">
        <v>1150.0</v>
      </c>
      <c r="AC24" s="51">
        <v>256.0</v>
      </c>
      <c r="AD24" s="52">
        <v>8192.0</v>
      </c>
      <c r="AE24" s="53">
        <v>4150.0</v>
      </c>
      <c r="AF24" s="45"/>
      <c r="AG24" s="45"/>
      <c r="AH24" s="40">
        <f t="shared" si="7"/>
        <v>368</v>
      </c>
      <c r="AI24" s="45"/>
      <c r="AK24" s="55">
        <v>200029.0</v>
      </c>
      <c r="AL24" s="55">
        <v>10.0</v>
      </c>
      <c r="AM24" s="55">
        <v>31.0</v>
      </c>
      <c r="AN24" s="55">
        <v>0.03</v>
      </c>
      <c r="AO24" s="55">
        <v>0.5</v>
      </c>
      <c r="AP24" s="55" t="s">
        <v>14</v>
      </c>
      <c r="AQ24" s="55" t="s">
        <v>14</v>
      </c>
      <c r="AR24" s="55">
        <v>2048.0</v>
      </c>
      <c r="AS24" s="55">
        <v>200.0</v>
      </c>
      <c r="AT24" s="55">
        <v>1150.0</v>
      </c>
      <c r="AU24" s="55">
        <v>256.0</v>
      </c>
      <c r="AV24" s="56">
        <v>8192.0</v>
      </c>
      <c r="AW24" s="57">
        <v>4518.0</v>
      </c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45"/>
      <c r="BL24" s="45"/>
      <c r="BM24" s="45"/>
      <c r="BN24" s="45"/>
    </row>
    <row r="25">
      <c r="A25" s="7">
        <v>200029.0</v>
      </c>
      <c r="B25" s="7">
        <v>10.0</v>
      </c>
      <c r="C25" s="7">
        <v>31.0</v>
      </c>
      <c r="D25" s="7">
        <v>0.03</v>
      </c>
      <c r="E25" s="7">
        <v>0.5</v>
      </c>
      <c r="F25" s="7" t="s">
        <v>14</v>
      </c>
      <c r="G25" s="7" t="s">
        <v>14</v>
      </c>
      <c r="H25" s="7">
        <v>2048.0</v>
      </c>
      <c r="I25" s="7">
        <v>200.0</v>
      </c>
      <c r="J25" s="7">
        <v>1200.0</v>
      </c>
      <c r="K25" s="37">
        <f t="shared" si="9"/>
        <v>256</v>
      </c>
      <c r="L25" s="37">
        <f t="shared" si="10"/>
        <v>8192</v>
      </c>
      <c r="M25" s="39">
        <v>3684.0</v>
      </c>
      <c r="N25" s="24"/>
      <c r="O25" s="24"/>
      <c r="P25" s="40">
        <f t="shared" si="6"/>
        <v>357</v>
      </c>
      <c r="Q25" s="24"/>
      <c r="R25" s="24"/>
      <c r="S25" s="51">
        <v>200029.0</v>
      </c>
      <c r="T25" s="51">
        <v>10.0</v>
      </c>
      <c r="U25" s="51">
        <v>31.0</v>
      </c>
      <c r="V25" s="51">
        <v>0.03</v>
      </c>
      <c r="W25" s="51">
        <v>0.5</v>
      </c>
      <c r="X25" s="51" t="s">
        <v>14</v>
      </c>
      <c r="Y25" s="51" t="s">
        <v>14</v>
      </c>
      <c r="Z25" s="51">
        <v>2048.0</v>
      </c>
      <c r="AA25" s="51">
        <v>200.0</v>
      </c>
      <c r="AB25" s="51">
        <v>1200.0</v>
      </c>
      <c r="AC25" s="51">
        <v>256.0</v>
      </c>
      <c r="AD25" s="52">
        <v>8192.0</v>
      </c>
      <c r="AE25" s="53">
        <v>4041.0</v>
      </c>
      <c r="AF25" s="45"/>
      <c r="AG25" s="45"/>
      <c r="AH25" s="40">
        <f t="shared" si="7"/>
        <v>378</v>
      </c>
      <c r="AI25" s="45"/>
      <c r="AK25" s="55">
        <v>200029.0</v>
      </c>
      <c r="AL25" s="55">
        <v>10.0</v>
      </c>
      <c r="AM25" s="55">
        <v>31.0</v>
      </c>
      <c r="AN25" s="55">
        <v>0.03</v>
      </c>
      <c r="AO25" s="55">
        <v>0.5</v>
      </c>
      <c r="AP25" s="55" t="s">
        <v>14</v>
      </c>
      <c r="AQ25" s="55" t="s">
        <v>14</v>
      </c>
      <c r="AR25" s="55">
        <v>2048.0</v>
      </c>
      <c r="AS25" s="55">
        <v>200.0</v>
      </c>
      <c r="AT25" s="55">
        <v>1200.0</v>
      </c>
      <c r="AU25" s="55">
        <v>256.0</v>
      </c>
      <c r="AV25" s="56">
        <v>8192.0</v>
      </c>
      <c r="AW25" s="57">
        <v>4419.0</v>
      </c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45"/>
      <c r="BK25" s="45"/>
      <c r="BL25" s="45"/>
      <c r="BM25" s="45"/>
      <c r="BN25" s="45"/>
    </row>
    <row r="26">
      <c r="A26" s="7">
        <v>200029.0</v>
      </c>
      <c r="B26" s="7">
        <v>10.0</v>
      </c>
      <c r="C26" s="7">
        <v>31.0</v>
      </c>
      <c r="D26" s="7">
        <v>0.03</v>
      </c>
      <c r="E26" s="7">
        <v>0.5</v>
      </c>
      <c r="F26" s="7" t="s">
        <v>14</v>
      </c>
      <c r="G26" s="7" t="s">
        <v>14</v>
      </c>
      <c r="H26" s="7">
        <v>2048.0</v>
      </c>
      <c r="I26" s="7">
        <v>200.0</v>
      </c>
      <c r="J26" s="7">
        <v>1250.0</v>
      </c>
      <c r="K26" s="37">
        <f t="shared" si="9"/>
        <v>256</v>
      </c>
      <c r="L26" s="37">
        <f t="shared" si="10"/>
        <v>8192</v>
      </c>
      <c r="M26" s="39">
        <v>3535.0</v>
      </c>
      <c r="N26" s="24"/>
      <c r="O26" s="24"/>
      <c r="P26" s="40">
        <f t="shared" si="6"/>
        <v>735</v>
      </c>
      <c r="Q26" s="24"/>
      <c r="R26" s="24"/>
      <c r="S26" s="51">
        <v>200029.0</v>
      </c>
      <c r="T26" s="51">
        <v>10.0</v>
      </c>
      <c r="U26" s="51">
        <v>31.0</v>
      </c>
      <c r="V26" s="51">
        <v>0.03</v>
      </c>
      <c r="W26" s="51">
        <v>0.5</v>
      </c>
      <c r="X26" s="51" t="s">
        <v>14</v>
      </c>
      <c r="Y26" s="51" t="s">
        <v>14</v>
      </c>
      <c r="Z26" s="51">
        <v>2048.0</v>
      </c>
      <c r="AA26" s="51">
        <v>200.0</v>
      </c>
      <c r="AB26" s="51">
        <v>1250.0</v>
      </c>
      <c r="AC26" s="51">
        <v>256.0</v>
      </c>
      <c r="AD26" s="52">
        <v>8192.0</v>
      </c>
      <c r="AE26" s="53">
        <v>4270.0</v>
      </c>
      <c r="AF26" s="45"/>
      <c r="AG26" s="45"/>
      <c r="AH26" s="40">
        <f t="shared" si="7"/>
        <v>69</v>
      </c>
      <c r="AI26" s="45"/>
      <c r="AK26" s="55">
        <v>200029.0</v>
      </c>
      <c r="AL26" s="55">
        <v>10.0</v>
      </c>
      <c r="AM26" s="55">
        <v>31.0</v>
      </c>
      <c r="AN26" s="55">
        <v>0.03</v>
      </c>
      <c r="AO26" s="55">
        <v>0.5</v>
      </c>
      <c r="AP26" s="55" t="s">
        <v>14</v>
      </c>
      <c r="AQ26" s="55" t="s">
        <v>14</v>
      </c>
      <c r="AR26" s="55">
        <v>2048.0</v>
      </c>
      <c r="AS26" s="55">
        <v>200.0</v>
      </c>
      <c r="AT26" s="55">
        <v>1250.0</v>
      </c>
      <c r="AU26" s="55">
        <v>256.0</v>
      </c>
      <c r="AV26" s="56">
        <v>8192.0</v>
      </c>
      <c r="AW26" s="57">
        <v>4339.0</v>
      </c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45"/>
      <c r="BL26" s="45"/>
      <c r="BM26" s="45"/>
      <c r="BN26" s="45"/>
    </row>
    <row r="27">
      <c r="A27" s="7">
        <v>200029.0</v>
      </c>
      <c r="B27" s="7">
        <v>10.0</v>
      </c>
      <c r="C27" s="7">
        <v>31.0</v>
      </c>
      <c r="D27" s="7">
        <v>0.03</v>
      </c>
      <c r="E27" s="7">
        <v>0.5</v>
      </c>
      <c r="F27" s="7" t="s">
        <v>14</v>
      </c>
      <c r="G27" s="7" t="s">
        <v>14</v>
      </c>
      <c r="H27" s="7">
        <v>2048.0</v>
      </c>
      <c r="I27" s="7">
        <v>200.0</v>
      </c>
      <c r="J27" s="7">
        <v>1300.0</v>
      </c>
      <c r="K27" s="37">
        <f t="shared" si="9"/>
        <v>256</v>
      </c>
      <c r="L27" s="37">
        <f t="shared" si="10"/>
        <v>8192</v>
      </c>
      <c r="M27" s="39">
        <v>4210.0</v>
      </c>
      <c r="N27" s="24"/>
      <c r="O27" s="24"/>
      <c r="P27" s="40">
        <f t="shared" si="6"/>
        <v>-60</v>
      </c>
      <c r="Q27" s="24"/>
      <c r="R27" s="24"/>
      <c r="S27" s="51">
        <v>200029.0</v>
      </c>
      <c r="T27" s="58">
        <v>10.0</v>
      </c>
      <c r="U27" s="58">
        <v>31.0</v>
      </c>
      <c r="V27" s="58">
        <v>0.03</v>
      </c>
      <c r="W27" s="58">
        <v>0.5</v>
      </c>
      <c r="X27" s="58" t="s">
        <v>14</v>
      </c>
      <c r="Y27" s="58" t="s">
        <v>14</v>
      </c>
      <c r="Z27" s="58">
        <v>2048.0</v>
      </c>
      <c r="AA27" s="58">
        <v>200.0</v>
      </c>
      <c r="AB27" s="58">
        <v>1300.0</v>
      </c>
      <c r="AC27" s="58">
        <v>256.0</v>
      </c>
      <c r="AD27" s="59">
        <v>8192.0</v>
      </c>
      <c r="AE27" s="53">
        <v>4150.0</v>
      </c>
      <c r="AF27" s="45"/>
      <c r="AG27" s="45"/>
      <c r="AH27" s="40">
        <f t="shared" si="7"/>
        <v>50</v>
      </c>
      <c r="AI27" s="45"/>
      <c r="AK27" s="55">
        <v>200029.0</v>
      </c>
      <c r="AL27" s="60">
        <v>10.0</v>
      </c>
      <c r="AM27" s="60">
        <v>31.0</v>
      </c>
      <c r="AN27" s="60">
        <v>0.03</v>
      </c>
      <c r="AO27" s="60">
        <v>0.5</v>
      </c>
      <c r="AP27" s="60" t="s">
        <v>14</v>
      </c>
      <c r="AQ27" s="60" t="s">
        <v>14</v>
      </c>
      <c r="AR27" s="60">
        <v>2048.0</v>
      </c>
      <c r="AS27" s="60">
        <v>200.0</v>
      </c>
      <c r="AT27" s="60">
        <v>1300.0</v>
      </c>
      <c r="AU27" s="60">
        <v>256.0</v>
      </c>
      <c r="AV27" s="61">
        <v>8192.0</v>
      </c>
      <c r="AW27" s="57">
        <v>4200.0</v>
      </c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45"/>
      <c r="BK27" s="45"/>
      <c r="BL27" s="45"/>
      <c r="BM27" s="45"/>
      <c r="BN27" s="45"/>
    </row>
    <row r="28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62"/>
      <c r="N28" s="24"/>
      <c r="O28" s="24"/>
      <c r="P28" s="63">
        <f>SUM(P17:P27)</f>
        <v>1319</v>
      </c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62">
        <f>SUM(AE17:AE27)</f>
        <v>43787</v>
      </c>
      <c r="AF28" s="62"/>
      <c r="AG28" s="64" t="s">
        <v>36</v>
      </c>
      <c r="AH28" s="63">
        <f>SUM(AH17:AH27)</f>
        <v>2306</v>
      </c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>
        <f>SUM(AW17:AW27)</f>
        <v>46093</v>
      </c>
      <c r="AX28" s="62"/>
      <c r="AY28" s="62"/>
      <c r="AZ28" s="62"/>
      <c r="BA28" s="62"/>
      <c r="BB28" s="62"/>
      <c r="BC28" s="62"/>
      <c r="BD28" s="62"/>
      <c r="BE28" s="62"/>
      <c r="BF28" s="62"/>
      <c r="BG28" s="62"/>
      <c r="BH28" s="62"/>
      <c r="BI28" s="62"/>
      <c r="BJ28" s="62"/>
      <c r="BK28" s="62"/>
      <c r="BL28" s="62"/>
      <c r="BM28" s="62"/>
      <c r="BN28" s="62"/>
    </row>
    <row r="29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62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2"/>
      <c r="BF29" s="62"/>
      <c r="BG29" s="62"/>
      <c r="BH29" s="62"/>
      <c r="BI29" s="62"/>
      <c r="BJ29" s="62"/>
      <c r="BK29" s="62"/>
      <c r="BL29" s="62"/>
      <c r="BM29" s="62"/>
      <c r="BN29" s="62"/>
    </row>
    <row r="30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62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</row>
    <row r="31">
      <c r="A31" s="66" t="s">
        <v>0</v>
      </c>
      <c r="B31" s="66" t="s">
        <v>1</v>
      </c>
      <c r="C31" s="66" t="s">
        <v>2</v>
      </c>
      <c r="D31" s="66" t="s">
        <v>3</v>
      </c>
      <c r="E31" s="66" t="s">
        <v>4</v>
      </c>
      <c r="F31" s="66" t="s">
        <v>5</v>
      </c>
      <c r="G31" s="66" t="s">
        <v>6</v>
      </c>
      <c r="H31" s="66" t="s">
        <v>7</v>
      </c>
      <c r="I31" s="66" t="s">
        <v>8</v>
      </c>
      <c r="J31" s="66" t="s">
        <v>9</v>
      </c>
      <c r="K31" s="67" t="s">
        <v>10</v>
      </c>
      <c r="L31" s="67" t="s">
        <v>11</v>
      </c>
      <c r="M31" s="68" t="s">
        <v>12</v>
      </c>
      <c r="N31" s="24"/>
      <c r="O31" s="24"/>
      <c r="P31" s="33" t="s">
        <v>33</v>
      </c>
      <c r="Q31" s="24"/>
      <c r="R31" s="24"/>
      <c r="S31" s="34" t="s">
        <v>0</v>
      </c>
      <c r="T31" s="34" t="s">
        <v>1</v>
      </c>
      <c r="U31" s="34" t="s">
        <v>2</v>
      </c>
      <c r="V31" s="34" t="s">
        <v>3</v>
      </c>
      <c r="W31" s="34" t="s">
        <v>4</v>
      </c>
      <c r="X31" s="34" t="s">
        <v>5</v>
      </c>
      <c r="Y31" s="34" t="s">
        <v>6</v>
      </c>
      <c r="Z31" s="34" t="s">
        <v>7</v>
      </c>
      <c r="AA31" s="34" t="s">
        <v>8</v>
      </c>
      <c r="AB31" s="34" t="s">
        <v>9</v>
      </c>
      <c r="AC31" s="34" t="s">
        <v>10</v>
      </c>
      <c r="AD31" s="34" t="s">
        <v>11</v>
      </c>
      <c r="AE31" s="35" t="s">
        <v>12</v>
      </c>
      <c r="AF31" s="27"/>
      <c r="AG31" s="27"/>
      <c r="AH31" s="33" t="s">
        <v>33</v>
      </c>
      <c r="AI31" s="27"/>
      <c r="AJ31" s="27"/>
      <c r="AK31" s="34" t="s">
        <v>0</v>
      </c>
      <c r="AL31" s="34" t="s">
        <v>1</v>
      </c>
      <c r="AM31" s="34" t="s">
        <v>2</v>
      </c>
      <c r="AN31" s="34" t="s">
        <v>3</v>
      </c>
      <c r="AO31" s="34" t="s">
        <v>4</v>
      </c>
      <c r="AP31" s="34" t="s">
        <v>5</v>
      </c>
      <c r="AQ31" s="34" t="s">
        <v>6</v>
      </c>
      <c r="AR31" s="34" t="s">
        <v>7</v>
      </c>
      <c r="AS31" s="34" t="s">
        <v>8</v>
      </c>
      <c r="AT31" s="34" t="s">
        <v>9</v>
      </c>
      <c r="AU31" s="34" t="s">
        <v>10</v>
      </c>
      <c r="AV31" s="34" t="s">
        <v>11</v>
      </c>
      <c r="AW31" s="35" t="s">
        <v>12</v>
      </c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</row>
    <row r="32">
      <c r="A32" s="7">
        <v>300073.0</v>
      </c>
      <c r="B32" s="7">
        <v>10.0</v>
      </c>
      <c r="C32" s="7">
        <v>31.0</v>
      </c>
      <c r="D32" s="7">
        <v>0.03</v>
      </c>
      <c r="E32" s="7">
        <v>0.5</v>
      </c>
      <c r="F32" s="7" t="s">
        <v>14</v>
      </c>
      <c r="G32" s="7" t="s">
        <v>14</v>
      </c>
      <c r="H32" s="7">
        <v>2048.0</v>
      </c>
      <c r="I32" s="7">
        <v>200.0</v>
      </c>
      <c r="J32" s="7">
        <v>800.0</v>
      </c>
      <c r="K32" s="37">
        <v>256.0</v>
      </c>
      <c r="L32" s="38">
        <v>8192.0</v>
      </c>
      <c r="M32" s="39">
        <v>3207.0</v>
      </c>
      <c r="N32" s="24"/>
      <c r="O32" s="24"/>
      <c r="P32" s="40">
        <f t="shared" ref="P32:P42" si="11">AE32-M32</f>
        <v>-69</v>
      </c>
      <c r="Q32" s="24"/>
      <c r="R32" s="24"/>
      <c r="S32" s="69">
        <v>300073.0</v>
      </c>
      <c r="T32" s="42">
        <v>10.0</v>
      </c>
      <c r="U32" s="42">
        <v>31.0</v>
      </c>
      <c r="V32" s="42">
        <v>0.03</v>
      </c>
      <c r="W32" s="42">
        <v>0.5</v>
      </c>
      <c r="X32" s="42" t="s">
        <v>14</v>
      </c>
      <c r="Y32" s="42" t="s">
        <v>14</v>
      </c>
      <c r="Z32" s="42">
        <v>2048.0</v>
      </c>
      <c r="AA32" s="42">
        <v>200.0</v>
      </c>
      <c r="AB32" s="42">
        <v>800.0</v>
      </c>
      <c r="AC32" s="42">
        <v>256.0</v>
      </c>
      <c r="AD32" s="43">
        <v>8192.0</v>
      </c>
      <c r="AE32" s="44">
        <v>3138.0</v>
      </c>
      <c r="AF32" s="45"/>
      <c r="AG32" s="45"/>
      <c r="AH32" s="40">
        <f t="shared" ref="AH32:AH42" si="12">AW32-AE32</f>
        <v>1161</v>
      </c>
      <c r="AI32" s="45"/>
      <c r="AJ32" s="65" t="s">
        <v>35</v>
      </c>
      <c r="AK32" s="55">
        <v>300073.0</v>
      </c>
      <c r="AL32" s="47">
        <v>10.0</v>
      </c>
      <c r="AM32" s="47">
        <v>31.0</v>
      </c>
      <c r="AN32" s="47">
        <v>0.03</v>
      </c>
      <c r="AO32" s="47">
        <v>0.5</v>
      </c>
      <c r="AP32" s="47" t="s">
        <v>14</v>
      </c>
      <c r="AQ32" s="47" t="s">
        <v>14</v>
      </c>
      <c r="AR32" s="47">
        <v>2048.0</v>
      </c>
      <c r="AS32" s="47">
        <v>200.0</v>
      </c>
      <c r="AT32" s="47">
        <v>800.0</v>
      </c>
      <c r="AU32" s="47">
        <v>256.0</v>
      </c>
      <c r="AV32" s="48">
        <v>8192.0</v>
      </c>
      <c r="AW32" s="49">
        <v>4299.0</v>
      </c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5"/>
      <c r="BM32" s="45"/>
      <c r="BN32" s="45"/>
    </row>
    <row r="33">
      <c r="A33" s="7">
        <v>300073.0</v>
      </c>
      <c r="B33" s="7">
        <v>10.0</v>
      </c>
      <c r="C33" s="7">
        <v>31.0</v>
      </c>
      <c r="D33" s="7">
        <v>0.03</v>
      </c>
      <c r="E33" s="7">
        <v>0.5</v>
      </c>
      <c r="F33" s="7" t="s">
        <v>14</v>
      </c>
      <c r="G33" s="7" t="s">
        <v>14</v>
      </c>
      <c r="H33" s="7">
        <v>2048.0</v>
      </c>
      <c r="I33" s="7">
        <v>200.0</v>
      </c>
      <c r="J33" s="7">
        <v>850.0</v>
      </c>
      <c r="K33" s="37">
        <f t="shared" ref="K33:K34" si="13">K32</f>
        <v>256</v>
      </c>
      <c r="L33" s="38">
        <v>8192.0</v>
      </c>
      <c r="M33" s="39">
        <v>3863.0</v>
      </c>
      <c r="N33" s="24"/>
      <c r="O33" s="24"/>
      <c r="P33" s="40">
        <f t="shared" si="11"/>
        <v>-80</v>
      </c>
      <c r="Q33" s="24"/>
      <c r="R33" s="24"/>
      <c r="S33" s="51">
        <v>300073.0</v>
      </c>
      <c r="T33" s="51">
        <v>10.0</v>
      </c>
      <c r="U33" s="51">
        <v>31.0</v>
      </c>
      <c r="V33" s="51">
        <v>0.03</v>
      </c>
      <c r="W33" s="51">
        <v>0.5</v>
      </c>
      <c r="X33" s="51" t="s">
        <v>14</v>
      </c>
      <c r="Y33" s="51" t="s">
        <v>14</v>
      </c>
      <c r="Z33" s="51">
        <v>2048.0</v>
      </c>
      <c r="AA33" s="51">
        <v>200.0</v>
      </c>
      <c r="AB33" s="51">
        <v>850.0</v>
      </c>
      <c r="AC33" s="51">
        <v>256.0</v>
      </c>
      <c r="AD33" s="52">
        <v>8192.0</v>
      </c>
      <c r="AE33" s="53">
        <v>3783.0</v>
      </c>
      <c r="AF33" s="45"/>
      <c r="AG33" s="45"/>
      <c r="AH33" s="40">
        <f t="shared" si="12"/>
        <v>765</v>
      </c>
      <c r="AI33" s="45"/>
      <c r="AK33" s="55">
        <v>300073.0</v>
      </c>
      <c r="AL33" s="55">
        <v>10.0</v>
      </c>
      <c r="AM33" s="55">
        <v>31.0</v>
      </c>
      <c r="AN33" s="55">
        <v>0.03</v>
      </c>
      <c r="AO33" s="55">
        <v>0.5</v>
      </c>
      <c r="AP33" s="55" t="s">
        <v>14</v>
      </c>
      <c r="AQ33" s="55" t="s">
        <v>14</v>
      </c>
      <c r="AR33" s="55">
        <v>2048.0</v>
      </c>
      <c r="AS33" s="55">
        <v>200.0</v>
      </c>
      <c r="AT33" s="55">
        <v>850.0</v>
      </c>
      <c r="AU33" s="55">
        <v>256.0</v>
      </c>
      <c r="AV33" s="56">
        <v>8192.0</v>
      </c>
      <c r="AW33" s="57">
        <v>4548.0</v>
      </c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45"/>
      <c r="BL33" s="45"/>
      <c r="BM33" s="45"/>
      <c r="BN33" s="45"/>
    </row>
    <row r="34">
      <c r="A34" s="7">
        <v>300073.0</v>
      </c>
      <c r="B34" s="7">
        <v>10.0</v>
      </c>
      <c r="C34" s="7">
        <v>31.0</v>
      </c>
      <c r="D34" s="7">
        <v>0.03</v>
      </c>
      <c r="E34" s="7">
        <v>0.5</v>
      </c>
      <c r="F34" s="7" t="s">
        <v>14</v>
      </c>
      <c r="G34" s="7" t="s">
        <v>14</v>
      </c>
      <c r="H34" s="7">
        <v>2048.0</v>
      </c>
      <c r="I34" s="7">
        <v>200.0</v>
      </c>
      <c r="J34" s="7">
        <v>900.0</v>
      </c>
      <c r="K34" s="37">
        <f t="shared" si="13"/>
        <v>256</v>
      </c>
      <c r="L34" s="38">
        <v>8192.0</v>
      </c>
      <c r="M34" s="39">
        <v>3694.0</v>
      </c>
      <c r="N34" s="24"/>
      <c r="O34" s="24"/>
      <c r="P34" s="40">
        <f t="shared" si="11"/>
        <v>-80</v>
      </c>
      <c r="Q34" s="24"/>
      <c r="R34" s="24"/>
      <c r="S34" s="51">
        <v>300073.0</v>
      </c>
      <c r="T34" s="51">
        <v>10.0</v>
      </c>
      <c r="U34" s="51">
        <v>31.0</v>
      </c>
      <c r="V34" s="51">
        <v>0.03</v>
      </c>
      <c r="W34" s="51">
        <v>0.5</v>
      </c>
      <c r="X34" s="51" t="s">
        <v>14</v>
      </c>
      <c r="Y34" s="51" t="s">
        <v>14</v>
      </c>
      <c r="Z34" s="51">
        <v>2048.0</v>
      </c>
      <c r="AA34" s="51">
        <v>200.0</v>
      </c>
      <c r="AB34" s="51">
        <v>900.0</v>
      </c>
      <c r="AC34" s="51">
        <v>256.0</v>
      </c>
      <c r="AD34" s="52">
        <v>8192.0</v>
      </c>
      <c r="AE34" s="53">
        <v>3614.0</v>
      </c>
      <c r="AF34" s="45"/>
      <c r="AG34" s="45"/>
      <c r="AH34" s="40">
        <f t="shared" si="12"/>
        <v>775</v>
      </c>
      <c r="AI34" s="45"/>
      <c r="AK34" s="55">
        <v>300073.0</v>
      </c>
      <c r="AL34" s="55">
        <v>10.0</v>
      </c>
      <c r="AM34" s="55">
        <v>31.0</v>
      </c>
      <c r="AN34" s="55">
        <v>0.03</v>
      </c>
      <c r="AO34" s="55">
        <v>0.5</v>
      </c>
      <c r="AP34" s="55" t="s">
        <v>14</v>
      </c>
      <c r="AQ34" s="55" t="s">
        <v>14</v>
      </c>
      <c r="AR34" s="55">
        <v>2048.0</v>
      </c>
      <c r="AS34" s="55">
        <v>200.0</v>
      </c>
      <c r="AT34" s="55">
        <v>900.0</v>
      </c>
      <c r="AU34" s="55">
        <v>256.0</v>
      </c>
      <c r="AV34" s="56">
        <v>8192.0</v>
      </c>
      <c r="AW34" s="57">
        <v>4389.0</v>
      </c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  <c r="BL34" s="45"/>
      <c r="BM34" s="45"/>
      <c r="BN34" s="45"/>
    </row>
    <row r="35">
      <c r="A35" s="7">
        <v>300073.0</v>
      </c>
      <c r="B35" s="7">
        <v>10.0</v>
      </c>
      <c r="C35" s="7">
        <v>31.0</v>
      </c>
      <c r="D35" s="7">
        <v>0.03</v>
      </c>
      <c r="E35" s="7">
        <v>0.5</v>
      </c>
      <c r="F35" s="7" t="s">
        <v>14</v>
      </c>
      <c r="G35" s="7" t="s">
        <v>14</v>
      </c>
      <c r="H35" s="7">
        <v>2048.0</v>
      </c>
      <c r="I35" s="7">
        <v>200.0</v>
      </c>
      <c r="J35" s="7">
        <v>950.0</v>
      </c>
      <c r="K35" s="37">
        <v>256.0</v>
      </c>
      <c r="L35" s="38">
        <v>8192.0</v>
      </c>
      <c r="M35" s="39">
        <v>3545.0</v>
      </c>
      <c r="N35" s="24"/>
      <c r="O35" s="24"/>
      <c r="P35" s="40">
        <f t="shared" si="11"/>
        <v>278</v>
      </c>
      <c r="Q35" s="24"/>
      <c r="R35" s="24"/>
      <c r="S35" s="51">
        <v>300073.0</v>
      </c>
      <c r="T35" s="51">
        <v>10.0</v>
      </c>
      <c r="U35" s="51">
        <v>31.0</v>
      </c>
      <c r="V35" s="51">
        <v>0.03</v>
      </c>
      <c r="W35" s="51">
        <v>0.5</v>
      </c>
      <c r="X35" s="51" t="s">
        <v>14</v>
      </c>
      <c r="Y35" s="51" t="s">
        <v>14</v>
      </c>
      <c r="Z35" s="51">
        <v>2048.0</v>
      </c>
      <c r="AA35" s="51">
        <v>200.0</v>
      </c>
      <c r="AB35" s="51">
        <v>950.0</v>
      </c>
      <c r="AC35" s="51">
        <v>256.0</v>
      </c>
      <c r="AD35" s="52">
        <v>8192.0</v>
      </c>
      <c r="AE35" s="53">
        <v>3823.0</v>
      </c>
      <c r="AF35" s="45"/>
      <c r="AG35" s="45"/>
      <c r="AH35" s="40">
        <f t="shared" si="12"/>
        <v>457</v>
      </c>
      <c r="AI35" s="45"/>
      <c r="AK35" s="55">
        <v>300073.0</v>
      </c>
      <c r="AL35" s="55">
        <v>10.0</v>
      </c>
      <c r="AM35" s="55">
        <v>31.0</v>
      </c>
      <c r="AN35" s="55">
        <v>0.03</v>
      </c>
      <c r="AO35" s="55">
        <v>0.5</v>
      </c>
      <c r="AP35" s="55" t="s">
        <v>14</v>
      </c>
      <c r="AQ35" s="55" t="s">
        <v>14</v>
      </c>
      <c r="AR35" s="55">
        <v>2048.0</v>
      </c>
      <c r="AS35" s="55">
        <v>200.0</v>
      </c>
      <c r="AT35" s="55">
        <v>950.0</v>
      </c>
      <c r="AU35" s="55">
        <v>256.0</v>
      </c>
      <c r="AV35" s="56">
        <v>8192.0</v>
      </c>
      <c r="AW35" s="57">
        <v>4280.0</v>
      </c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45"/>
      <c r="BK35" s="45"/>
      <c r="BL35" s="45"/>
      <c r="BM35" s="45"/>
      <c r="BN35" s="45"/>
    </row>
    <row r="36">
      <c r="A36" s="7">
        <v>300073.0</v>
      </c>
      <c r="B36" s="7">
        <v>10.0</v>
      </c>
      <c r="C36" s="7">
        <v>31.0</v>
      </c>
      <c r="D36" s="7">
        <v>0.03</v>
      </c>
      <c r="E36" s="7">
        <v>0.5</v>
      </c>
      <c r="F36" s="7" t="s">
        <v>14</v>
      </c>
      <c r="G36" s="7" t="s">
        <v>14</v>
      </c>
      <c r="H36" s="7">
        <v>2048.0</v>
      </c>
      <c r="I36" s="7">
        <v>200.0</v>
      </c>
      <c r="J36" s="7">
        <v>1000.0</v>
      </c>
      <c r="K36" s="37">
        <f t="shared" ref="K36:K42" si="14">K35</f>
        <v>256</v>
      </c>
      <c r="L36" s="38">
        <v>8192.0</v>
      </c>
      <c r="M36" s="39">
        <v>4250.0</v>
      </c>
      <c r="N36" s="24"/>
      <c r="O36" s="24"/>
      <c r="P36" s="40">
        <f t="shared" si="11"/>
        <v>-536</v>
      </c>
      <c r="Q36" s="24"/>
      <c r="R36" s="24"/>
      <c r="S36" s="51">
        <v>300073.0</v>
      </c>
      <c r="T36" s="51">
        <v>10.0</v>
      </c>
      <c r="U36" s="51">
        <v>31.0</v>
      </c>
      <c r="V36" s="51">
        <v>0.03</v>
      </c>
      <c r="W36" s="51">
        <v>0.5</v>
      </c>
      <c r="X36" s="51" t="s">
        <v>14</v>
      </c>
      <c r="Y36" s="51" t="s">
        <v>14</v>
      </c>
      <c r="Z36" s="51">
        <v>2048.0</v>
      </c>
      <c r="AA36" s="51">
        <v>200.0</v>
      </c>
      <c r="AB36" s="51">
        <v>1000.0</v>
      </c>
      <c r="AC36" s="51">
        <v>256.0</v>
      </c>
      <c r="AD36" s="52">
        <v>8192.0</v>
      </c>
      <c r="AE36" s="53">
        <v>3714.0</v>
      </c>
      <c r="AF36" s="45"/>
      <c r="AG36" s="45"/>
      <c r="AH36" s="40">
        <f t="shared" si="12"/>
        <v>427</v>
      </c>
      <c r="AI36" s="45"/>
      <c r="AK36" s="55">
        <v>300073.0</v>
      </c>
      <c r="AL36" s="55">
        <v>10.0</v>
      </c>
      <c r="AM36" s="55">
        <v>31.0</v>
      </c>
      <c r="AN36" s="55">
        <v>0.03</v>
      </c>
      <c r="AO36" s="55">
        <v>0.5</v>
      </c>
      <c r="AP36" s="55" t="s">
        <v>14</v>
      </c>
      <c r="AQ36" s="55" t="s">
        <v>14</v>
      </c>
      <c r="AR36" s="55">
        <v>2048.0</v>
      </c>
      <c r="AS36" s="55">
        <v>200.0</v>
      </c>
      <c r="AT36" s="55">
        <v>1000.0</v>
      </c>
      <c r="AU36" s="55">
        <v>256.0</v>
      </c>
      <c r="AV36" s="56">
        <v>8192.0</v>
      </c>
      <c r="AW36" s="57">
        <v>4141.0</v>
      </c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45"/>
      <c r="BK36" s="45"/>
      <c r="BL36" s="45"/>
      <c r="BM36" s="45"/>
      <c r="BN36" s="45"/>
    </row>
    <row r="37">
      <c r="A37" s="7">
        <v>300073.0</v>
      </c>
      <c r="B37" s="7">
        <v>10.0</v>
      </c>
      <c r="C37" s="7">
        <v>31.0</v>
      </c>
      <c r="D37" s="7">
        <v>0.03</v>
      </c>
      <c r="E37" s="7">
        <v>0.5</v>
      </c>
      <c r="F37" s="7" t="s">
        <v>14</v>
      </c>
      <c r="G37" s="7" t="s">
        <v>14</v>
      </c>
      <c r="H37" s="7">
        <v>2048.0</v>
      </c>
      <c r="I37" s="7">
        <v>200.0</v>
      </c>
      <c r="J37" s="7">
        <v>1050.0</v>
      </c>
      <c r="K37" s="37">
        <f t="shared" si="14"/>
        <v>256</v>
      </c>
      <c r="L37" s="38">
        <v>8192.0</v>
      </c>
      <c r="M37" s="39">
        <v>4160.0</v>
      </c>
      <c r="N37" s="24"/>
      <c r="O37" s="24"/>
      <c r="P37" s="40">
        <f t="shared" si="11"/>
        <v>209</v>
      </c>
      <c r="Q37" s="24"/>
      <c r="R37" s="24"/>
      <c r="S37" s="51">
        <v>300073.0</v>
      </c>
      <c r="T37" s="51">
        <v>10.0</v>
      </c>
      <c r="U37" s="51">
        <v>31.0</v>
      </c>
      <c r="V37" s="51">
        <v>0.03</v>
      </c>
      <c r="W37" s="51">
        <v>0.5</v>
      </c>
      <c r="X37" s="51" t="s">
        <v>14</v>
      </c>
      <c r="Y37" s="51" t="s">
        <v>14</v>
      </c>
      <c r="Z37" s="51">
        <v>2048.0</v>
      </c>
      <c r="AA37" s="51">
        <v>200.0</v>
      </c>
      <c r="AB37" s="51">
        <v>1050.0</v>
      </c>
      <c r="AC37" s="51">
        <v>256.0</v>
      </c>
      <c r="AD37" s="52">
        <v>8192.0</v>
      </c>
      <c r="AE37" s="53">
        <v>4369.0</v>
      </c>
      <c r="AF37" s="45"/>
      <c r="AG37" s="45"/>
      <c r="AH37" s="40">
        <f t="shared" si="12"/>
        <v>-377</v>
      </c>
      <c r="AI37" s="45"/>
      <c r="AK37" s="55">
        <v>300073.0</v>
      </c>
      <c r="AL37" s="55">
        <v>10.0</v>
      </c>
      <c r="AM37" s="55">
        <v>31.0</v>
      </c>
      <c r="AN37" s="55">
        <v>0.03</v>
      </c>
      <c r="AO37" s="55">
        <v>0.5</v>
      </c>
      <c r="AP37" s="55" t="s">
        <v>14</v>
      </c>
      <c r="AQ37" s="55" t="s">
        <v>14</v>
      </c>
      <c r="AR37" s="55">
        <v>2048.0</v>
      </c>
      <c r="AS37" s="55">
        <v>200.0</v>
      </c>
      <c r="AT37" s="55">
        <v>1050.0</v>
      </c>
      <c r="AU37" s="55">
        <v>256.0</v>
      </c>
      <c r="AV37" s="56">
        <v>8192.0</v>
      </c>
      <c r="AW37" s="57">
        <v>3992.0</v>
      </c>
      <c r="AX37" s="45"/>
      <c r="AY37" s="45"/>
      <c r="AZ37" s="45"/>
      <c r="BA37" s="45"/>
      <c r="BB37" s="45"/>
      <c r="BC37" s="45"/>
      <c r="BD37" s="45"/>
      <c r="BE37" s="45"/>
      <c r="BF37" s="45"/>
      <c r="BG37" s="45"/>
      <c r="BH37" s="45"/>
      <c r="BI37" s="45"/>
      <c r="BJ37" s="45"/>
      <c r="BK37" s="45"/>
      <c r="BL37" s="45"/>
      <c r="BM37" s="45"/>
      <c r="BN37" s="45"/>
    </row>
    <row r="38">
      <c r="A38" s="7">
        <v>300073.0</v>
      </c>
      <c r="B38" s="7">
        <v>10.0</v>
      </c>
      <c r="C38" s="7">
        <v>31.0</v>
      </c>
      <c r="D38" s="7">
        <v>0.03</v>
      </c>
      <c r="E38" s="7">
        <v>0.5</v>
      </c>
      <c r="F38" s="7" t="s">
        <v>14</v>
      </c>
      <c r="G38" s="7" t="s">
        <v>14</v>
      </c>
      <c r="H38" s="7">
        <v>2048.0</v>
      </c>
      <c r="I38" s="7">
        <v>200.0</v>
      </c>
      <c r="J38" s="7">
        <v>1100.0</v>
      </c>
      <c r="K38" s="37">
        <f t="shared" si="14"/>
        <v>256</v>
      </c>
      <c r="L38" s="38">
        <v>8192.0</v>
      </c>
      <c r="M38" s="39">
        <v>3962.0</v>
      </c>
      <c r="N38" s="24"/>
      <c r="O38" s="24"/>
      <c r="P38" s="40">
        <f t="shared" si="11"/>
        <v>278</v>
      </c>
      <c r="Q38" s="24"/>
      <c r="R38" s="24"/>
      <c r="S38" s="51">
        <v>300073.0</v>
      </c>
      <c r="T38" s="51">
        <v>10.0</v>
      </c>
      <c r="U38" s="51">
        <v>31.0</v>
      </c>
      <c r="V38" s="51">
        <v>0.03</v>
      </c>
      <c r="W38" s="51">
        <v>0.5</v>
      </c>
      <c r="X38" s="51" t="s">
        <v>14</v>
      </c>
      <c r="Y38" s="51" t="s">
        <v>14</v>
      </c>
      <c r="Z38" s="51">
        <v>2048.0</v>
      </c>
      <c r="AA38" s="51">
        <v>200.0</v>
      </c>
      <c r="AB38" s="51">
        <v>1100.0</v>
      </c>
      <c r="AC38" s="51">
        <v>256.0</v>
      </c>
      <c r="AD38" s="52">
        <v>8192.0</v>
      </c>
      <c r="AE38" s="53">
        <v>4240.0</v>
      </c>
      <c r="AF38" s="45"/>
      <c r="AG38" s="45"/>
      <c r="AH38" s="40">
        <f t="shared" si="12"/>
        <v>367</v>
      </c>
      <c r="AI38" s="45"/>
      <c r="AK38" s="55">
        <v>300073.0</v>
      </c>
      <c r="AL38" s="55">
        <v>10.0</v>
      </c>
      <c r="AM38" s="55">
        <v>31.0</v>
      </c>
      <c r="AN38" s="55">
        <v>0.03</v>
      </c>
      <c r="AO38" s="55">
        <v>0.5</v>
      </c>
      <c r="AP38" s="55" t="s">
        <v>14</v>
      </c>
      <c r="AQ38" s="55" t="s">
        <v>14</v>
      </c>
      <c r="AR38" s="55">
        <v>2048.0</v>
      </c>
      <c r="AS38" s="55">
        <v>200.0</v>
      </c>
      <c r="AT38" s="55">
        <v>1100.0</v>
      </c>
      <c r="AU38" s="55">
        <v>256.0</v>
      </c>
      <c r="AV38" s="56">
        <v>8192.0</v>
      </c>
      <c r="AW38" s="57">
        <v>4607.0</v>
      </c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5"/>
      <c r="BL38" s="45"/>
      <c r="BM38" s="45"/>
      <c r="BN38" s="45"/>
    </row>
    <row r="39">
      <c r="A39" s="7">
        <v>300073.0</v>
      </c>
      <c r="B39" s="7">
        <v>10.0</v>
      </c>
      <c r="C39" s="7">
        <v>31.0</v>
      </c>
      <c r="D39" s="7">
        <v>0.03</v>
      </c>
      <c r="E39" s="7">
        <v>0.5</v>
      </c>
      <c r="F39" s="7" t="s">
        <v>14</v>
      </c>
      <c r="G39" s="7" t="s">
        <v>14</v>
      </c>
      <c r="H39" s="7">
        <v>2048.0</v>
      </c>
      <c r="I39" s="7">
        <v>200.0</v>
      </c>
      <c r="J39" s="7">
        <v>1150.0</v>
      </c>
      <c r="K39" s="37">
        <f t="shared" si="14"/>
        <v>256</v>
      </c>
      <c r="L39" s="37">
        <f t="shared" ref="L39:L42" si="15">L38</f>
        <v>8192</v>
      </c>
      <c r="M39" s="39">
        <v>3793.0</v>
      </c>
      <c r="N39" s="24"/>
      <c r="O39" s="24"/>
      <c r="P39" s="40">
        <f t="shared" si="11"/>
        <v>288</v>
      </c>
      <c r="Q39" s="24"/>
      <c r="R39" s="24"/>
      <c r="S39" s="51">
        <v>300073.0</v>
      </c>
      <c r="T39" s="51">
        <v>10.0</v>
      </c>
      <c r="U39" s="51">
        <v>31.0</v>
      </c>
      <c r="V39" s="51">
        <v>0.03</v>
      </c>
      <c r="W39" s="51">
        <v>0.5</v>
      </c>
      <c r="X39" s="51" t="s">
        <v>14</v>
      </c>
      <c r="Y39" s="51" t="s">
        <v>14</v>
      </c>
      <c r="Z39" s="51">
        <v>2048.0</v>
      </c>
      <c r="AA39" s="51">
        <v>200.0</v>
      </c>
      <c r="AB39" s="51">
        <v>1150.0</v>
      </c>
      <c r="AC39" s="51">
        <v>256.0</v>
      </c>
      <c r="AD39" s="52">
        <v>8192.0</v>
      </c>
      <c r="AE39" s="53">
        <v>4081.0</v>
      </c>
      <c r="AF39" s="45"/>
      <c r="AG39" s="45"/>
      <c r="AH39" s="40">
        <f t="shared" si="12"/>
        <v>387</v>
      </c>
      <c r="AI39" s="45"/>
      <c r="AK39" s="55">
        <v>300073.0</v>
      </c>
      <c r="AL39" s="55">
        <v>10.0</v>
      </c>
      <c r="AM39" s="55">
        <v>31.0</v>
      </c>
      <c r="AN39" s="55">
        <v>0.03</v>
      </c>
      <c r="AO39" s="55">
        <v>0.5</v>
      </c>
      <c r="AP39" s="55" t="s">
        <v>14</v>
      </c>
      <c r="AQ39" s="55" t="s">
        <v>14</v>
      </c>
      <c r="AR39" s="55">
        <v>2048.0</v>
      </c>
      <c r="AS39" s="55">
        <v>200.0</v>
      </c>
      <c r="AT39" s="55">
        <v>1150.0</v>
      </c>
      <c r="AU39" s="55">
        <v>256.0</v>
      </c>
      <c r="AV39" s="56">
        <v>8192.0</v>
      </c>
      <c r="AW39" s="57">
        <v>4468.0</v>
      </c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45"/>
      <c r="BL39" s="45"/>
      <c r="BM39" s="45"/>
      <c r="BN39" s="45"/>
    </row>
    <row r="40">
      <c r="A40" s="7">
        <v>300073.0</v>
      </c>
      <c r="B40" s="7">
        <v>10.0</v>
      </c>
      <c r="C40" s="7">
        <v>31.0</v>
      </c>
      <c r="D40" s="7">
        <v>0.03</v>
      </c>
      <c r="E40" s="7">
        <v>0.5</v>
      </c>
      <c r="F40" s="7" t="s">
        <v>14</v>
      </c>
      <c r="G40" s="7" t="s">
        <v>14</v>
      </c>
      <c r="H40" s="7">
        <v>2048.0</v>
      </c>
      <c r="I40" s="7">
        <v>200.0</v>
      </c>
      <c r="J40" s="7">
        <v>1200.0</v>
      </c>
      <c r="K40" s="37">
        <f t="shared" si="14"/>
        <v>256</v>
      </c>
      <c r="L40" s="37">
        <f t="shared" si="15"/>
        <v>8192</v>
      </c>
      <c r="M40" s="39">
        <v>3624.0</v>
      </c>
      <c r="N40" s="24"/>
      <c r="O40" s="24"/>
      <c r="P40" s="40">
        <f t="shared" si="11"/>
        <v>725</v>
      </c>
      <c r="Q40" s="24"/>
      <c r="R40" s="24"/>
      <c r="S40" s="51">
        <v>300073.0</v>
      </c>
      <c r="T40" s="51">
        <v>10.0</v>
      </c>
      <c r="U40" s="51">
        <v>31.0</v>
      </c>
      <c r="V40" s="51">
        <v>0.03</v>
      </c>
      <c r="W40" s="51">
        <v>0.5</v>
      </c>
      <c r="X40" s="51" t="s">
        <v>14</v>
      </c>
      <c r="Y40" s="51" t="s">
        <v>14</v>
      </c>
      <c r="Z40" s="51">
        <v>2048.0</v>
      </c>
      <c r="AA40" s="51">
        <v>200.0</v>
      </c>
      <c r="AB40" s="51">
        <v>1200.0</v>
      </c>
      <c r="AC40" s="51">
        <v>256.0</v>
      </c>
      <c r="AD40" s="52">
        <v>8192.0</v>
      </c>
      <c r="AE40" s="53">
        <v>4349.0</v>
      </c>
      <c r="AF40" s="45"/>
      <c r="AG40" s="45"/>
      <c r="AH40" s="40">
        <f t="shared" si="12"/>
        <v>20</v>
      </c>
      <c r="AI40" s="45"/>
      <c r="AK40" s="55">
        <v>300073.0</v>
      </c>
      <c r="AL40" s="55">
        <v>10.0</v>
      </c>
      <c r="AM40" s="55">
        <v>31.0</v>
      </c>
      <c r="AN40" s="55">
        <v>0.03</v>
      </c>
      <c r="AO40" s="55">
        <v>0.5</v>
      </c>
      <c r="AP40" s="55" t="s">
        <v>14</v>
      </c>
      <c r="AQ40" s="55" t="s">
        <v>14</v>
      </c>
      <c r="AR40" s="55">
        <v>2048.0</v>
      </c>
      <c r="AS40" s="55">
        <v>200.0</v>
      </c>
      <c r="AT40" s="55">
        <v>1200.0</v>
      </c>
      <c r="AU40" s="55">
        <v>256.0</v>
      </c>
      <c r="AV40" s="56">
        <v>8192.0</v>
      </c>
      <c r="AW40" s="57">
        <v>4369.0</v>
      </c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</row>
    <row r="41">
      <c r="A41" s="7">
        <v>300073.0</v>
      </c>
      <c r="B41" s="7">
        <v>10.0</v>
      </c>
      <c r="C41" s="7">
        <v>31.0</v>
      </c>
      <c r="D41" s="7">
        <v>0.03</v>
      </c>
      <c r="E41" s="7">
        <v>0.5</v>
      </c>
      <c r="F41" s="7" t="s">
        <v>14</v>
      </c>
      <c r="G41" s="7" t="s">
        <v>14</v>
      </c>
      <c r="H41" s="7">
        <v>2048.0</v>
      </c>
      <c r="I41" s="7">
        <v>200.0</v>
      </c>
      <c r="J41" s="7">
        <v>1250.0</v>
      </c>
      <c r="K41" s="37">
        <f t="shared" si="14"/>
        <v>256</v>
      </c>
      <c r="L41" s="37">
        <f t="shared" si="15"/>
        <v>8192</v>
      </c>
      <c r="M41" s="39">
        <v>3475.0</v>
      </c>
      <c r="N41" s="24"/>
      <c r="O41" s="24"/>
      <c r="P41" s="40">
        <f t="shared" si="11"/>
        <v>1142</v>
      </c>
      <c r="Q41" s="24"/>
      <c r="R41" s="24"/>
      <c r="S41" s="51">
        <v>300073.0</v>
      </c>
      <c r="T41" s="51">
        <v>10.0</v>
      </c>
      <c r="U41" s="51">
        <v>31.0</v>
      </c>
      <c r="V41" s="51">
        <v>0.03</v>
      </c>
      <c r="W41" s="51">
        <v>0.5</v>
      </c>
      <c r="X41" s="51" t="s">
        <v>14</v>
      </c>
      <c r="Y41" s="51" t="s">
        <v>14</v>
      </c>
      <c r="Z41" s="51">
        <v>2048.0</v>
      </c>
      <c r="AA41" s="51">
        <v>200.0</v>
      </c>
      <c r="AB41" s="51">
        <v>1250.0</v>
      </c>
      <c r="AC41" s="51">
        <v>256.0</v>
      </c>
      <c r="AD41" s="52">
        <v>8192.0</v>
      </c>
      <c r="AE41" s="53">
        <v>4617.0</v>
      </c>
      <c r="AF41" s="45"/>
      <c r="AG41" s="45"/>
      <c r="AH41" s="40">
        <f t="shared" si="12"/>
        <v>-417</v>
      </c>
      <c r="AI41" s="45"/>
      <c r="AK41" s="55">
        <v>300073.0</v>
      </c>
      <c r="AL41" s="55">
        <v>10.0</v>
      </c>
      <c r="AM41" s="55">
        <v>31.0</v>
      </c>
      <c r="AN41" s="55">
        <v>0.03</v>
      </c>
      <c r="AO41" s="55">
        <v>0.5</v>
      </c>
      <c r="AP41" s="55" t="s">
        <v>14</v>
      </c>
      <c r="AQ41" s="55" t="s">
        <v>14</v>
      </c>
      <c r="AR41" s="55">
        <v>2048.0</v>
      </c>
      <c r="AS41" s="55">
        <v>200.0</v>
      </c>
      <c r="AT41" s="55">
        <v>1250.0</v>
      </c>
      <c r="AU41" s="55">
        <v>256.0</v>
      </c>
      <c r="AV41" s="56">
        <v>8192.0</v>
      </c>
      <c r="AW41" s="57">
        <v>4200.0</v>
      </c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</row>
    <row r="42">
      <c r="A42" s="7">
        <v>300073.0</v>
      </c>
      <c r="B42" s="7">
        <v>10.0</v>
      </c>
      <c r="C42" s="7">
        <v>31.0</v>
      </c>
      <c r="D42" s="7">
        <v>0.03</v>
      </c>
      <c r="E42" s="7">
        <v>0.5</v>
      </c>
      <c r="F42" s="7" t="s">
        <v>14</v>
      </c>
      <c r="G42" s="7" t="s">
        <v>14</v>
      </c>
      <c r="H42" s="7">
        <v>2048.0</v>
      </c>
      <c r="I42" s="7">
        <v>200.0</v>
      </c>
      <c r="J42" s="7">
        <v>1300.0</v>
      </c>
      <c r="K42" s="37">
        <f t="shared" si="14"/>
        <v>256</v>
      </c>
      <c r="L42" s="37">
        <f t="shared" si="15"/>
        <v>8192</v>
      </c>
      <c r="M42" s="39">
        <v>3664.0</v>
      </c>
      <c r="N42" s="24"/>
      <c r="O42" s="24"/>
      <c r="P42" s="40">
        <f t="shared" si="11"/>
        <v>784</v>
      </c>
      <c r="Q42" s="24"/>
      <c r="R42" s="24"/>
      <c r="S42" s="51">
        <v>300073.0</v>
      </c>
      <c r="T42" s="58">
        <v>10.0</v>
      </c>
      <c r="U42" s="58">
        <v>31.0</v>
      </c>
      <c r="V42" s="58">
        <v>0.03</v>
      </c>
      <c r="W42" s="58">
        <v>0.5</v>
      </c>
      <c r="X42" s="58" t="s">
        <v>14</v>
      </c>
      <c r="Y42" s="58" t="s">
        <v>14</v>
      </c>
      <c r="Z42" s="58">
        <v>2048.0</v>
      </c>
      <c r="AA42" s="58">
        <v>200.0</v>
      </c>
      <c r="AB42" s="58">
        <v>1300.0</v>
      </c>
      <c r="AC42" s="58">
        <v>256.0</v>
      </c>
      <c r="AD42" s="59">
        <v>8192.0</v>
      </c>
      <c r="AE42" s="53">
        <v>4448.0</v>
      </c>
      <c r="AF42" s="45"/>
      <c r="AG42" s="45"/>
      <c r="AH42" s="40">
        <f t="shared" si="12"/>
        <v>-327</v>
      </c>
      <c r="AI42" s="45"/>
      <c r="AK42" s="55">
        <v>300073.0</v>
      </c>
      <c r="AL42" s="60">
        <v>10.0</v>
      </c>
      <c r="AM42" s="60">
        <v>31.0</v>
      </c>
      <c r="AN42" s="60">
        <v>0.03</v>
      </c>
      <c r="AO42" s="60">
        <v>0.5</v>
      </c>
      <c r="AP42" s="60" t="s">
        <v>14</v>
      </c>
      <c r="AQ42" s="60" t="s">
        <v>14</v>
      </c>
      <c r="AR42" s="60">
        <v>2048.0</v>
      </c>
      <c r="AS42" s="60">
        <v>200.0</v>
      </c>
      <c r="AT42" s="60">
        <v>1300.0</v>
      </c>
      <c r="AU42" s="60">
        <v>256.0</v>
      </c>
      <c r="AV42" s="61">
        <v>8192.0</v>
      </c>
      <c r="AW42" s="57">
        <v>4121.0</v>
      </c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  <c r="BN42" s="45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62"/>
      <c r="N43" s="24"/>
      <c r="O43" s="24"/>
      <c r="P43" s="63">
        <f>SUM(P32:P42)</f>
        <v>2939</v>
      </c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62">
        <f>SUM(AE32:AE42)</f>
        <v>44176</v>
      </c>
      <c r="AF43" s="62"/>
      <c r="AG43" s="64" t="s">
        <v>36</v>
      </c>
      <c r="AH43" s="63">
        <f>SUM(AH32:AH42)</f>
        <v>3238</v>
      </c>
      <c r="AI43" s="62"/>
      <c r="AJ43" s="62"/>
      <c r="AK43" s="62"/>
      <c r="AL43" s="62"/>
      <c r="AM43" s="62"/>
      <c r="AN43" s="62"/>
      <c r="AO43" s="62"/>
      <c r="AP43" s="62"/>
      <c r="AQ43" s="62"/>
      <c r="AR43" s="62"/>
      <c r="AS43" s="62"/>
      <c r="AT43" s="62"/>
      <c r="AU43" s="62"/>
      <c r="AV43" s="62"/>
      <c r="AW43" s="62">
        <f>SUM(AW32:AW42)</f>
        <v>47414</v>
      </c>
      <c r="AX43" s="62"/>
      <c r="AY43" s="62"/>
      <c r="AZ43" s="62"/>
      <c r="BA43" s="62"/>
      <c r="BB43" s="62"/>
      <c r="BC43" s="62"/>
      <c r="BD43" s="62"/>
      <c r="BE43" s="62"/>
      <c r="BF43" s="62"/>
      <c r="BG43" s="62"/>
      <c r="BH43" s="62"/>
      <c r="BI43" s="62"/>
      <c r="BJ43" s="62"/>
      <c r="BK43" s="62"/>
      <c r="BL43" s="62"/>
      <c r="BM43" s="62"/>
      <c r="BN43" s="62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62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/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2"/>
      <c r="BJ44" s="62"/>
      <c r="BK44" s="62"/>
      <c r="BL44" s="62"/>
      <c r="BM44" s="62"/>
      <c r="BN44" s="62"/>
    </row>
    <row r="45">
      <c r="A45" s="66" t="s">
        <v>0</v>
      </c>
      <c r="B45" s="66" t="s">
        <v>1</v>
      </c>
      <c r="C45" s="66" t="s">
        <v>2</v>
      </c>
      <c r="D45" s="66" t="s">
        <v>3</v>
      </c>
      <c r="E45" s="66" t="s">
        <v>4</v>
      </c>
      <c r="F45" s="66" t="s">
        <v>5</v>
      </c>
      <c r="G45" s="66" t="s">
        <v>6</v>
      </c>
      <c r="H45" s="66" t="s">
        <v>7</v>
      </c>
      <c r="I45" s="66" t="s">
        <v>8</v>
      </c>
      <c r="J45" s="66" t="s">
        <v>9</v>
      </c>
      <c r="K45" s="67" t="s">
        <v>10</v>
      </c>
      <c r="L45" s="67" t="s">
        <v>11</v>
      </c>
      <c r="M45" s="68" t="s">
        <v>12</v>
      </c>
      <c r="N45" s="24"/>
      <c r="O45" s="24"/>
      <c r="P45" s="33" t="s">
        <v>33</v>
      </c>
      <c r="Q45" s="24"/>
      <c r="R45" s="24"/>
      <c r="S45" s="34" t="s">
        <v>0</v>
      </c>
      <c r="T45" s="34" t="s">
        <v>1</v>
      </c>
      <c r="U45" s="34" t="s">
        <v>2</v>
      </c>
      <c r="V45" s="34" t="s">
        <v>3</v>
      </c>
      <c r="W45" s="34" t="s">
        <v>4</v>
      </c>
      <c r="X45" s="34" t="s">
        <v>5</v>
      </c>
      <c r="Y45" s="34" t="s">
        <v>6</v>
      </c>
      <c r="Z45" s="34" t="s">
        <v>7</v>
      </c>
      <c r="AA45" s="34" t="s">
        <v>8</v>
      </c>
      <c r="AB45" s="34" t="s">
        <v>9</v>
      </c>
      <c r="AC45" s="34" t="s">
        <v>10</v>
      </c>
      <c r="AD45" s="34" t="s">
        <v>11</v>
      </c>
      <c r="AE45" s="35" t="s">
        <v>12</v>
      </c>
      <c r="AF45" s="27"/>
      <c r="AG45" s="27"/>
      <c r="AH45" s="33" t="s">
        <v>33</v>
      </c>
      <c r="AI45" s="27"/>
      <c r="AJ45" s="27"/>
      <c r="AK45" s="34" t="s">
        <v>0</v>
      </c>
      <c r="AL45" s="34" t="s">
        <v>1</v>
      </c>
      <c r="AM45" s="34" t="s">
        <v>2</v>
      </c>
      <c r="AN45" s="34" t="s">
        <v>3</v>
      </c>
      <c r="AO45" s="34" t="s">
        <v>4</v>
      </c>
      <c r="AP45" s="34" t="s">
        <v>5</v>
      </c>
      <c r="AQ45" s="34" t="s">
        <v>6</v>
      </c>
      <c r="AR45" s="34" t="s">
        <v>7</v>
      </c>
      <c r="AS45" s="34" t="s">
        <v>8</v>
      </c>
      <c r="AT45" s="34" t="s">
        <v>9</v>
      </c>
      <c r="AU45" s="34" t="s">
        <v>10</v>
      </c>
      <c r="AV45" s="34" t="s">
        <v>11</v>
      </c>
      <c r="AW45" s="35" t="s">
        <v>12</v>
      </c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</row>
    <row r="46">
      <c r="A46" s="7">
        <v>400009.0</v>
      </c>
      <c r="B46" s="7">
        <v>10.0</v>
      </c>
      <c r="C46" s="7">
        <v>31.0</v>
      </c>
      <c r="D46" s="7">
        <v>0.03</v>
      </c>
      <c r="E46" s="7">
        <v>0.5</v>
      </c>
      <c r="F46" s="7" t="s">
        <v>14</v>
      </c>
      <c r="G46" s="7" t="s">
        <v>14</v>
      </c>
      <c r="H46" s="7">
        <v>2048.0</v>
      </c>
      <c r="I46" s="7">
        <v>200.0</v>
      </c>
      <c r="J46" s="7">
        <v>800.0</v>
      </c>
      <c r="K46" s="37">
        <v>256.0</v>
      </c>
      <c r="L46" s="38">
        <v>8192.0</v>
      </c>
      <c r="M46" s="39">
        <v>3992.0</v>
      </c>
      <c r="N46" s="24"/>
      <c r="O46" s="24"/>
      <c r="P46" s="40">
        <f t="shared" ref="P46:P56" si="16">AE46-M46</f>
        <v>307</v>
      </c>
      <c r="Q46" s="24"/>
      <c r="R46" s="24"/>
      <c r="S46" s="69">
        <v>400009.0</v>
      </c>
      <c r="T46" s="42">
        <v>10.0</v>
      </c>
      <c r="U46" s="42">
        <v>31.0</v>
      </c>
      <c r="V46" s="42">
        <v>0.03</v>
      </c>
      <c r="W46" s="42">
        <v>0.5</v>
      </c>
      <c r="X46" s="42" t="s">
        <v>14</v>
      </c>
      <c r="Y46" s="42" t="s">
        <v>14</v>
      </c>
      <c r="Z46" s="42">
        <v>2048.0</v>
      </c>
      <c r="AA46" s="42">
        <v>200.0</v>
      </c>
      <c r="AB46" s="42">
        <v>800.0</v>
      </c>
      <c r="AC46" s="42">
        <v>256.0</v>
      </c>
      <c r="AD46" s="43">
        <v>8192.0</v>
      </c>
      <c r="AE46" s="44">
        <v>4299.0</v>
      </c>
      <c r="AF46" s="45"/>
      <c r="AG46" s="45"/>
      <c r="AH46" s="40">
        <f t="shared" ref="AH46:AH56" si="17">AW46-AE46</f>
        <v>-297</v>
      </c>
      <c r="AI46" s="45"/>
      <c r="AJ46" s="45" t="s">
        <v>37</v>
      </c>
      <c r="AK46" s="70">
        <v>400009.0</v>
      </c>
      <c r="AL46" s="47">
        <v>10.0</v>
      </c>
      <c r="AM46" s="47">
        <v>31.0</v>
      </c>
      <c r="AN46" s="47">
        <v>0.03</v>
      </c>
      <c r="AO46" s="47">
        <v>0.5</v>
      </c>
      <c r="AP46" s="47" t="s">
        <v>14</v>
      </c>
      <c r="AQ46" s="47" t="s">
        <v>14</v>
      </c>
      <c r="AR46" s="47">
        <v>2048.0</v>
      </c>
      <c r="AS46" s="47">
        <v>200.0</v>
      </c>
      <c r="AT46" s="47">
        <v>800.0</v>
      </c>
      <c r="AU46" s="47">
        <v>256.0</v>
      </c>
      <c r="AV46" s="48">
        <v>8192.0</v>
      </c>
      <c r="AW46" s="49">
        <v>4002.0</v>
      </c>
      <c r="AX46" s="45"/>
      <c r="AY46" s="45"/>
      <c r="AZ46" s="45"/>
      <c r="BA46" s="45"/>
      <c r="BB46" s="45"/>
      <c r="BC46" s="45"/>
      <c r="BD46" s="45"/>
      <c r="BE46" s="45"/>
      <c r="BF46" s="45"/>
      <c r="BG46" s="45"/>
      <c r="BH46" s="45"/>
      <c r="BI46" s="45"/>
      <c r="BJ46" s="45"/>
      <c r="BK46" s="45"/>
      <c r="BL46" s="45"/>
      <c r="BM46" s="45"/>
      <c r="BN46" s="45"/>
    </row>
    <row r="47">
      <c r="A47" s="7">
        <v>400009.0</v>
      </c>
      <c r="B47" s="7">
        <v>10.0</v>
      </c>
      <c r="C47" s="7">
        <v>31.0</v>
      </c>
      <c r="D47" s="7">
        <v>0.03</v>
      </c>
      <c r="E47" s="7">
        <v>0.5</v>
      </c>
      <c r="F47" s="7" t="s">
        <v>14</v>
      </c>
      <c r="G47" s="7" t="s">
        <v>14</v>
      </c>
      <c r="H47" s="7">
        <v>2048.0</v>
      </c>
      <c r="I47" s="7">
        <v>200.0</v>
      </c>
      <c r="J47" s="7">
        <v>850.0</v>
      </c>
      <c r="K47" s="37">
        <f t="shared" ref="K47:K48" si="18">K46</f>
        <v>256</v>
      </c>
      <c r="L47" s="38">
        <v>8192.0</v>
      </c>
      <c r="M47" s="39">
        <v>3803.0</v>
      </c>
      <c r="N47" s="24"/>
      <c r="O47" s="24"/>
      <c r="P47" s="40">
        <f t="shared" si="16"/>
        <v>367</v>
      </c>
      <c r="Q47" s="24"/>
      <c r="R47" s="24"/>
      <c r="S47" s="51">
        <v>400009.0</v>
      </c>
      <c r="T47" s="51">
        <v>10.0</v>
      </c>
      <c r="U47" s="51">
        <v>31.0</v>
      </c>
      <c r="V47" s="51">
        <v>0.03</v>
      </c>
      <c r="W47" s="51">
        <v>0.5</v>
      </c>
      <c r="X47" s="51" t="s">
        <v>14</v>
      </c>
      <c r="Y47" s="51" t="s">
        <v>14</v>
      </c>
      <c r="Z47" s="51">
        <v>2048.0</v>
      </c>
      <c r="AA47" s="51">
        <v>200.0</v>
      </c>
      <c r="AB47" s="51">
        <v>850.0</v>
      </c>
      <c r="AC47" s="51">
        <v>256.0</v>
      </c>
      <c r="AD47" s="52">
        <v>8192.0</v>
      </c>
      <c r="AE47" s="53">
        <v>4170.0</v>
      </c>
      <c r="AF47" s="45"/>
      <c r="AG47" s="45"/>
      <c r="AH47" s="40">
        <f t="shared" si="17"/>
        <v>-298</v>
      </c>
      <c r="AI47" s="45"/>
      <c r="AJ47" s="45"/>
      <c r="AK47" s="55">
        <v>400009.0</v>
      </c>
      <c r="AL47" s="55">
        <v>10.0</v>
      </c>
      <c r="AM47" s="55">
        <v>31.0</v>
      </c>
      <c r="AN47" s="55">
        <v>0.03</v>
      </c>
      <c r="AO47" s="55">
        <v>0.5</v>
      </c>
      <c r="AP47" s="55" t="s">
        <v>14</v>
      </c>
      <c r="AQ47" s="55" t="s">
        <v>14</v>
      </c>
      <c r="AR47" s="55">
        <v>2048.0</v>
      </c>
      <c r="AS47" s="55">
        <v>200.0</v>
      </c>
      <c r="AT47" s="55">
        <v>850.0</v>
      </c>
      <c r="AU47" s="55">
        <v>256.0</v>
      </c>
      <c r="AV47" s="56">
        <v>8192.0</v>
      </c>
      <c r="AW47" s="57">
        <v>3872.0</v>
      </c>
      <c r="AX47" s="45"/>
      <c r="AY47" s="45"/>
      <c r="AZ47" s="45"/>
      <c r="BA47" s="45"/>
      <c r="BB47" s="45"/>
      <c r="BC47" s="45"/>
      <c r="BD47" s="45"/>
      <c r="BE47" s="45"/>
      <c r="BF47" s="45"/>
      <c r="BG47" s="45"/>
      <c r="BH47" s="45"/>
      <c r="BI47" s="45"/>
      <c r="BJ47" s="45"/>
      <c r="BK47" s="45"/>
      <c r="BL47" s="45"/>
      <c r="BM47" s="45"/>
      <c r="BN47" s="45"/>
    </row>
    <row r="48">
      <c r="A48" s="7">
        <v>400009.0</v>
      </c>
      <c r="B48" s="7">
        <v>10.0</v>
      </c>
      <c r="C48" s="7">
        <v>31.0</v>
      </c>
      <c r="D48" s="7">
        <v>0.03</v>
      </c>
      <c r="E48" s="7">
        <v>0.5</v>
      </c>
      <c r="F48" s="7" t="s">
        <v>14</v>
      </c>
      <c r="G48" s="7" t="s">
        <v>14</v>
      </c>
      <c r="H48" s="7">
        <v>2048.0</v>
      </c>
      <c r="I48" s="7">
        <v>200.0</v>
      </c>
      <c r="J48" s="7">
        <v>900.0</v>
      </c>
      <c r="K48" s="37">
        <f t="shared" si="18"/>
        <v>256</v>
      </c>
      <c r="L48" s="38">
        <v>8192.0</v>
      </c>
      <c r="M48" s="39">
        <v>4031.0</v>
      </c>
      <c r="N48" s="24"/>
      <c r="O48" s="24"/>
      <c r="P48" s="40">
        <f t="shared" si="16"/>
        <v>417</v>
      </c>
      <c r="Q48" s="24"/>
      <c r="R48" s="24"/>
      <c r="S48" s="51">
        <v>400009.0</v>
      </c>
      <c r="T48" s="51">
        <v>10.0</v>
      </c>
      <c r="U48" s="51">
        <v>31.0</v>
      </c>
      <c r="V48" s="51">
        <v>0.03</v>
      </c>
      <c r="W48" s="51">
        <v>0.5</v>
      </c>
      <c r="X48" s="51" t="s">
        <v>14</v>
      </c>
      <c r="Y48" s="51" t="s">
        <v>14</v>
      </c>
      <c r="Z48" s="51">
        <v>2048.0</v>
      </c>
      <c r="AA48" s="51">
        <v>200.0</v>
      </c>
      <c r="AB48" s="51">
        <v>900.0</v>
      </c>
      <c r="AC48" s="51">
        <v>256.0</v>
      </c>
      <c r="AD48" s="52">
        <v>8192.0</v>
      </c>
      <c r="AE48" s="53">
        <v>4448.0</v>
      </c>
      <c r="AF48" s="45"/>
      <c r="AG48" s="45"/>
      <c r="AH48" s="40">
        <f t="shared" si="17"/>
        <v>-298</v>
      </c>
      <c r="AI48" s="45"/>
      <c r="AJ48" s="45"/>
      <c r="AK48" s="55">
        <v>400009.0</v>
      </c>
      <c r="AL48" s="55">
        <v>10.0</v>
      </c>
      <c r="AM48" s="55">
        <v>31.0</v>
      </c>
      <c r="AN48" s="55">
        <v>0.03</v>
      </c>
      <c r="AO48" s="55">
        <v>0.5</v>
      </c>
      <c r="AP48" s="55" t="s">
        <v>14</v>
      </c>
      <c r="AQ48" s="55" t="s">
        <v>14</v>
      </c>
      <c r="AR48" s="55">
        <v>2048.0</v>
      </c>
      <c r="AS48" s="55">
        <v>200.0</v>
      </c>
      <c r="AT48" s="55">
        <v>900.0</v>
      </c>
      <c r="AU48" s="55">
        <v>256.0</v>
      </c>
      <c r="AV48" s="56">
        <v>8192.0</v>
      </c>
      <c r="AW48" s="57">
        <v>4150.0</v>
      </c>
      <c r="AX48" s="45"/>
      <c r="AY48" s="45"/>
      <c r="AZ48" s="45"/>
      <c r="BA48" s="45"/>
      <c r="BB48" s="45"/>
      <c r="BC48" s="45"/>
      <c r="BD48" s="45"/>
      <c r="BE48" s="45"/>
      <c r="BF48" s="45"/>
      <c r="BG48" s="45"/>
      <c r="BH48" s="45"/>
      <c r="BI48" s="45"/>
      <c r="BJ48" s="45"/>
      <c r="BK48" s="45"/>
      <c r="BL48" s="45"/>
      <c r="BM48" s="45"/>
      <c r="BN48" s="45"/>
    </row>
    <row r="49">
      <c r="A49" s="7">
        <v>400009.0</v>
      </c>
      <c r="B49" s="7">
        <v>10.0</v>
      </c>
      <c r="C49" s="7">
        <v>31.0</v>
      </c>
      <c r="D49" s="7">
        <v>0.03</v>
      </c>
      <c r="E49" s="7">
        <v>0.5</v>
      </c>
      <c r="F49" s="7" t="s">
        <v>14</v>
      </c>
      <c r="G49" s="7" t="s">
        <v>14</v>
      </c>
      <c r="H49" s="7">
        <v>2048.0</v>
      </c>
      <c r="I49" s="7">
        <v>200.0</v>
      </c>
      <c r="J49" s="7">
        <v>950.0</v>
      </c>
      <c r="K49" s="37">
        <v>256.0</v>
      </c>
      <c r="L49" s="38">
        <v>8192.0</v>
      </c>
      <c r="M49" s="39">
        <v>3972.0</v>
      </c>
      <c r="N49" s="24"/>
      <c r="O49" s="24"/>
      <c r="P49" s="40">
        <f t="shared" si="16"/>
        <v>347</v>
      </c>
      <c r="Q49" s="24"/>
      <c r="R49" s="24"/>
      <c r="S49" s="51">
        <v>400009.0</v>
      </c>
      <c r="T49" s="51">
        <v>10.0</v>
      </c>
      <c r="U49" s="51">
        <v>31.0</v>
      </c>
      <c r="V49" s="51">
        <v>0.03</v>
      </c>
      <c r="W49" s="51">
        <v>0.5</v>
      </c>
      <c r="X49" s="51" t="s">
        <v>14</v>
      </c>
      <c r="Y49" s="51" t="s">
        <v>14</v>
      </c>
      <c r="Z49" s="51">
        <v>2048.0</v>
      </c>
      <c r="AA49" s="51">
        <v>200.0</v>
      </c>
      <c r="AB49" s="51">
        <v>950.0</v>
      </c>
      <c r="AC49" s="51">
        <v>256.0</v>
      </c>
      <c r="AD49" s="52">
        <v>8192.0</v>
      </c>
      <c r="AE49" s="53">
        <v>4319.0</v>
      </c>
      <c r="AF49" s="45"/>
      <c r="AG49" s="45"/>
      <c r="AH49" s="40">
        <f t="shared" si="17"/>
        <v>-268</v>
      </c>
      <c r="AI49" s="45"/>
      <c r="AJ49" s="45"/>
      <c r="AK49" s="55">
        <v>400009.0</v>
      </c>
      <c r="AL49" s="55">
        <v>10.0</v>
      </c>
      <c r="AM49" s="55">
        <v>31.0</v>
      </c>
      <c r="AN49" s="55">
        <v>0.03</v>
      </c>
      <c r="AO49" s="55">
        <v>0.5</v>
      </c>
      <c r="AP49" s="55" t="s">
        <v>14</v>
      </c>
      <c r="AQ49" s="55" t="s">
        <v>14</v>
      </c>
      <c r="AR49" s="55">
        <v>2048.0</v>
      </c>
      <c r="AS49" s="55">
        <v>200.0</v>
      </c>
      <c r="AT49" s="55">
        <v>950.0</v>
      </c>
      <c r="AU49" s="55">
        <v>256.0</v>
      </c>
      <c r="AV49" s="56">
        <v>8192.0</v>
      </c>
      <c r="AW49" s="57">
        <v>4051.0</v>
      </c>
      <c r="AX49" s="45"/>
      <c r="AY49" s="45"/>
      <c r="AZ49" s="45"/>
      <c r="BA49" s="45"/>
      <c r="BB49" s="45"/>
      <c r="BC49" s="45"/>
      <c r="BD49" s="45"/>
      <c r="BE49" s="45"/>
      <c r="BF49" s="45"/>
      <c r="BG49" s="45"/>
      <c r="BH49" s="45"/>
      <c r="BI49" s="45"/>
      <c r="BJ49" s="45"/>
      <c r="BK49" s="45"/>
      <c r="BL49" s="45"/>
      <c r="BM49" s="45"/>
      <c r="BN49" s="45"/>
    </row>
    <row r="50">
      <c r="A50" s="7">
        <v>400009.0</v>
      </c>
      <c r="B50" s="7">
        <v>10.0</v>
      </c>
      <c r="C50" s="7">
        <v>31.0</v>
      </c>
      <c r="D50" s="7">
        <v>0.03</v>
      </c>
      <c r="E50" s="7">
        <v>0.5</v>
      </c>
      <c r="F50" s="7" t="s">
        <v>14</v>
      </c>
      <c r="G50" s="7" t="s">
        <v>14</v>
      </c>
      <c r="H50" s="7">
        <v>2048.0</v>
      </c>
      <c r="I50" s="7">
        <v>200.0</v>
      </c>
      <c r="J50" s="7">
        <v>1000.0</v>
      </c>
      <c r="K50" s="37">
        <f t="shared" ref="K50:K56" si="19">K49</f>
        <v>256</v>
      </c>
      <c r="L50" s="38">
        <v>8192.0</v>
      </c>
      <c r="M50" s="39">
        <v>3833.0</v>
      </c>
      <c r="N50" s="24"/>
      <c r="O50" s="24"/>
      <c r="P50" s="40">
        <f t="shared" si="16"/>
        <v>327</v>
      </c>
      <c r="Q50" s="24"/>
      <c r="R50" s="24"/>
      <c r="S50" s="51">
        <v>400009.0</v>
      </c>
      <c r="T50" s="51">
        <v>10.0</v>
      </c>
      <c r="U50" s="51">
        <v>31.0</v>
      </c>
      <c r="V50" s="51">
        <v>0.03</v>
      </c>
      <c r="W50" s="51">
        <v>0.5</v>
      </c>
      <c r="X50" s="51" t="s">
        <v>14</v>
      </c>
      <c r="Y50" s="51" t="s">
        <v>14</v>
      </c>
      <c r="Z50" s="51">
        <v>2048.0</v>
      </c>
      <c r="AA50" s="51">
        <v>200.0</v>
      </c>
      <c r="AB50" s="51">
        <v>1000.0</v>
      </c>
      <c r="AC50" s="51">
        <v>256.0</v>
      </c>
      <c r="AD50" s="52">
        <v>8192.0</v>
      </c>
      <c r="AE50" s="53">
        <v>4160.0</v>
      </c>
      <c r="AF50" s="45"/>
      <c r="AG50" s="45"/>
      <c r="AH50" s="40">
        <f t="shared" si="17"/>
        <v>-347</v>
      </c>
      <c r="AI50" s="45"/>
      <c r="AJ50" s="45"/>
      <c r="AK50" s="55">
        <v>400009.0</v>
      </c>
      <c r="AL50" s="55">
        <v>10.0</v>
      </c>
      <c r="AM50" s="55">
        <v>31.0</v>
      </c>
      <c r="AN50" s="55">
        <v>0.03</v>
      </c>
      <c r="AO50" s="55">
        <v>0.5</v>
      </c>
      <c r="AP50" s="55" t="s">
        <v>14</v>
      </c>
      <c r="AQ50" s="55" t="s">
        <v>14</v>
      </c>
      <c r="AR50" s="55">
        <v>2048.0</v>
      </c>
      <c r="AS50" s="55">
        <v>200.0</v>
      </c>
      <c r="AT50" s="55">
        <v>1000.0</v>
      </c>
      <c r="AU50" s="55">
        <v>256.0</v>
      </c>
      <c r="AV50" s="56">
        <v>8192.0</v>
      </c>
      <c r="AW50" s="57">
        <v>3813.0</v>
      </c>
      <c r="AX50" s="45"/>
      <c r="AY50" s="45"/>
      <c r="AZ50" s="45"/>
      <c r="BA50" s="45"/>
      <c r="BB50" s="45"/>
      <c r="BC50" s="45"/>
      <c r="BD50" s="45"/>
      <c r="BE50" s="45"/>
      <c r="BF50" s="45"/>
      <c r="BG50" s="45"/>
      <c r="BH50" s="45"/>
      <c r="BI50" s="45"/>
      <c r="BJ50" s="45"/>
      <c r="BK50" s="45"/>
      <c r="BL50" s="45"/>
      <c r="BM50" s="45"/>
      <c r="BN50" s="45"/>
    </row>
    <row r="51">
      <c r="A51" s="7">
        <v>400009.0</v>
      </c>
      <c r="B51" s="7">
        <v>10.0</v>
      </c>
      <c r="C51" s="7">
        <v>31.0</v>
      </c>
      <c r="D51" s="7">
        <v>0.03</v>
      </c>
      <c r="E51" s="7">
        <v>0.5</v>
      </c>
      <c r="F51" s="7" t="s">
        <v>14</v>
      </c>
      <c r="G51" s="7" t="s">
        <v>14</v>
      </c>
      <c r="H51" s="7">
        <v>2048.0</v>
      </c>
      <c r="I51" s="7">
        <v>200.0</v>
      </c>
      <c r="J51" s="7">
        <v>1050.0</v>
      </c>
      <c r="K51" s="37">
        <f t="shared" si="19"/>
        <v>256</v>
      </c>
      <c r="L51" s="38">
        <v>8192.0</v>
      </c>
      <c r="M51" s="39">
        <v>3733.0</v>
      </c>
      <c r="N51" s="24"/>
      <c r="O51" s="24"/>
      <c r="P51" s="40">
        <f t="shared" si="16"/>
        <v>705</v>
      </c>
      <c r="Q51" s="24"/>
      <c r="R51" s="24"/>
      <c r="S51" s="51">
        <v>400009.0</v>
      </c>
      <c r="T51" s="51">
        <v>10.0</v>
      </c>
      <c r="U51" s="51">
        <v>31.0</v>
      </c>
      <c r="V51" s="51">
        <v>0.03</v>
      </c>
      <c r="W51" s="51">
        <v>0.5</v>
      </c>
      <c r="X51" s="51" t="s">
        <v>14</v>
      </c>
      <c r="Y51" s="51" t="s">
        <v>14</v>
      </c>
      <c r="Z51" s="51">
        <v>2048.0</v>
      </c>
      <c r="AA51" s="51">
        <v>200.0</v>
      </c>
      <c r="AB51" s="51">
        <v>1050.0</v>
      </c>
      <c r="AC51" s="51">
        <v>256.0</v>
      </c>
      <c r="AD51" s="52">
        <v>8192.0</v>
      </c>
      <c r="AE51" s="53">
        <v>4438.0</v>
      </c>
      <c r="AF51" s="45"/>
      <c r="AG51" s="45"/>
      <c r="AH51" s="40">
        <f t="shared" si="17"/>
        <v>-794</v>
      </c>
      <c r="AI51" s="45"/>
      <c r="AJ51" s="45"/>
      <c r="AK51" s="55">
        <v>400009.0</v>
      </c>
      <c r="AL51" s="55">
        <v>10.0</v>
      </c>
      <c r="AM51" s="55">
        <v>31.0</v>
      </c>
      <c r="AN51" s="55">
        <v>0.03</v>
      </c>
      <c r="AO51" s="55">
        <v>0.5</v>
      </c>
      <c r="AP51" s="55" t="s">
        <v>14</v>
      </c>
      <c r="AQ51" s="55" t="s">
        <v>14</v>
      </c>
      <c r="AR51" s="55">
        <v>2048.0</v>
      </c>
      <c r="AS51" s="55">
        <v>200.0</v>
      </c>
      <c r="AT51" s="55">
        <v>1050.0</v>
      </c>
      <c r="AU51" s="55">
        <v>256.0</v>
      </c>
      <c r="AV51" s="56">
        <v>8192.0</v>
      </c>
      <c r="AW51" s="57">
        <v>3644.0</v>
      </c>
      <c r="AX51" s="45"/>
      <c r="AY51" s="45"/>
      <c r="AZ51" s="45"/>
      <c r="BA51" s="45"/>
      <c r="BB51" s="45"/>
      <c r="BC51" s="45"/>
      <c r="BD51" s="45"/>
      <c r="BE51" s="45"/>
      <c r="BF51" s="45"/>
      <c r="BG51" s="45"/>
      <c r="BH51" s="45"/>
      <c r="BI51" s="45"/>
      <c r="BJ51" s="45"/>
      <c r="BK51" s="45"/>
      <c r="BL51" s="45"/>
      <c r="BM51" s="45"/>
      <c r="BN51" s="45"/>
    </row>
    <row r="52">
      <c r="A52" s="7">
        <v>400009.0</v>
      </c>
      <c r="B52" s="7">
        <v>10.0</v>
      </c>
      <c r="C52" s="7">
        <v>31.0</v>
      </c>
      <c r="D52" s="7">
        <v>0.03</v>
      </c>
      <c r="E52" s="7">
        <v>0.5</v>
      </c>
      <c r="F52" s="7" t="s">
        <v>14</v>
      </c>
      <c r="G52" s="7" t="s">
        <v>14</v>
      </c>
      <c r="H52" s="7">
        <v>2048.0</v>
      </c>
      <c r="I52" s="7">
        <v>200.0</v>
      </c>
      <c r="J52" s="7">
        <v>1100.0</v>
      </c>
      <c r="K52" s="37">
        <f t="shared" si="19"/>
        <v>256</v>
      </c>
      <c r="L52" s="38">
        <v>8192.0</v>
      </c>
      <c r="M52" s="39">
        <v>3624.0</v>
      </c>
      <c r="N52" s="24"/>
      <c r="O52" s="24"/>
      <c r="P52" s="40">
        <f t="shared" si="16"/>
        <v>695</v>
      </c>
      <c r="Q52" s="24"/>
      <c r="R52" s="24"/>
      <c r="S52" s="51">
        <v>400009.0</v>
      </c>
      <c r="T52" s="51">
        <v>10.0</v>
      </c>
      <c r="U52" s="51">
        <v>31.0</v>
      </c>
      <c r="V52" s="51">
        <v>0.03</v>
      </c>
      <c r="W52" s="51">
        <v>0.5</v>
      </c>
      <c r="X52" s="51" t="s">
        <v>14</v>
      </c>
      <c r="Y52" s="51" t="s">
        <v>14</v>
      </c>
      <c r="Z52" s="51">
        <v>2048.0</v>
      </c>
      <c r="AA52" s="51">
        <v>200.0</v>
      </c>
      <c r="AB52" s="51">
        <v>1100.0</v>
      </c>
      <c r="AC52" s="51">
        <v>256.0</v>
      </c>
      <c r="AD52" s="52">
        <v>8192.0</v>
      </c>
      <c r="AE52" s="53">
        <v>4319.0</v>
      </c>
      <c r="AF52" s="45"/>
      <c r="AG52" s="45"/>
      <c r="AH52" s="40">
        <f t="shared" si="17"/>
        <v>-794</v>
      </c>
      <c r="AI52" s="45"/>
      <c r="AJ52" s="45"/>
      <c r="AK52" s="55">
        <v>400009.0</v>
      </c>
      <c r="AL52" s="55">
        <v>10.0</v>
      </c>
      <c r="AM52" s="55">
        <v>31.0</v>
      </c>
      <c r="AN52" s="55">
        <v>0.03</v>
      </c>
      <c r="AO52" s="55">
        <v>0.5</v>
      </c>
      <c r="AP52" s="55" t="s">
        <v>14</v>
      </c>
      <c r="AQ52" s="55" t="s">
        <v>14</v>
      </c>
      <c r="AR52" s="55">
        <v>2048.0</v>
      </c>
      <c r="AS52" s="55">
        <v>200.0</v>
      </c>
      <c r="AT52" s="55">
        <v>1100.0</v>
      </c>
      <c r="AU52" s="55">
        <v>256.0</v>
      </c>
      <c r="AV52" s="56">
        <v>8192.0</v>
      </c>
      <c r="AW52" s="57">
        <v>3525.0</v>
      </c>
      <c r="AX52" s="45"/>
      <c r="AY52" s="45"/>
      <c r="AZ52" s="45"/>
      <c r="BA52" s="45"/>
      <c r="BB52" s="45"/>
      <c r="BC52" s="45"/>
      <c r="BD52" s="45"/>
      <c r="BE52" s="45"/>
      <c r="BF52" s="45"/>
      <c r="BG52" s="45"/>
      <c r="BH52" s="45"/>
      <c r="BI52" s="45"/>
      <c r="BJ52" s="45"/>
      <c r="BK52" s="45"/>
      <c r="BL52" s="45"/>
      <c r="BM52" s="45"/>
      <c r="BN52" s="45"/>
    </row>
    <row r="53">
      <c r="A53" s="7">
        <v>400009.0</v>
      </c>
      <c r="B53" s="7">
        <v>10.0</v>
      </c>
      <c r="C53" s="7">
        <v>31.0</v>
      </c>
      <c r="D53" s="7">
        <v>0.03</v>
      </c>
      <c r="E53" s="7">
        <v>0.5</v>
      </c>
      <c r="F53" s="7" t="s">
        <v>14</v>
      </c>
      <c r="G53" s="7" t="s">
        <v>14</v>
      </c>
      <c r="H53" s="7">
        <v>2048.0</v>
      </c>
      <c r="I53" s="7">
        <v>200.0</v>
      </c>
      <c r="J53" s="7">
        <v>1150.0</v>
      </c>
      <c r="K53" s="37">
        <f t="shared" si="19"/>
        <v>256</v>
      </c>
      <c r="L53" s="37">
        <f t="shared" ref="L53:L56" si="20">L52</f>
        <v>8192</v>
      </c>
      <c r="M53" s="39">
        <v>3475.0</v>
      </c>
      <c r="N53" s="24"/>
      <c r="O53" s="24"/>
      <c r="P53" s="40">
        <f t="shared" si="16"/>
        <v>685</v>
      </c>
      <c r="Q53" s="24"/>
      <c r="R53" s="24"/>
      <c r="S53" s="51">
        <v>400009.0</v>
      </c>
      <c r="T53" s="51">
        <v>10.0</v>
      </c>
      <c r="U53" s="51">
        <v>31.0</v>
      </c>
      <c r="V53" s="51">
        <v>0.03</v>
      </c>
      <c r="W53" s="51">
        <v>0.5</v>
      </c>
      <c r="X53" s="51" t="s">
        <v>14</v>
      </c>
      <c r="Y53" s="51" t="s">
        <v>14</v>
      </c>
      <c r="Z53" s="51">
        <v>2048.0</v>
      </c>
      <c r="AA53" s="51">
        <v>200.0</v>
      </c>
      <c r="AB53" s="51">
        <v>1150.0</v>
      </c>
      <c r="AC53" s="51">
        <v>256.0</v>
      </c>
      <c r="AD53" s="52">
        <v>8192.0</v>
      </c>
      <c r="AE53" s="53">
        <v>4160.0</v>
      </c>
      <c r="AF53" s="45"/>
      <c r="AG53" s="45"/>
      <c r="AH53" s="40">
        <f t="shared" si="17"/>
        <v>-804</v>
      </c>
      <c r="AI53" s="45"/>
      <c r="AJ53" s="45"/>
      <c r="AK53" s="55">
        <v>400009.0</v>
      </c>
      <c r="AL53" s="55">
        <v>10.0</v>
      </c>
      <c r="AM53" s="55">
        <v>31.0</v>
      </c>
      <c r="AN53" s="55">
        <v>0.03</v>
      </c>
      <c r="AO53" s="55">
        <v>0.5</v>
      </c>
      <c r="AP53" s="55" t="s">
        <v>14</v>
      </c>
      <c r="AQ53" s="55" t="s">
        <v>14</v>
      </c>
      <c r="AR53" s="55">
        <v>2048.0</v>
      </c>
      <c r="AS53" s="55">
        <v>200.0</v>
      </c>
      <c r="AT53" s="55">
        <v>1150.0</v>
      </c>
      <c r="AU53" s="55">
        <v>256.0</v>
      </c>
      <c r="AV53" s="56">
        <v>8192.0</v>
      </c>
      <c r="AW53" s="57">
        <v>3356.0</v>
      </c>
      <c r="AX53" s="45"/>
      <c r="AY53" s="45"/>
      <c r="AZ53" s="45"/>
      <c r="BA53" s="45"/>
      <c r="BB53" s="45"/>
      <c r="BC53" s="45"/>
      <c r="BD53" s="45"/>
      <c r="BE53" s="45"/>
      <c r="BF53" s="45"/>
      <c r="BG53" s="45"/>
      <c r="BH53" s="45"/>
      <c r="BI53" s="45"/>
      <c r="BJ53" s="45"/>
      <c r="BK53" s="45"/>
      <c r="BL53" s="45"/>
      <c r="BM53" s="45"/>
      <c r="BN53" s="45"/>
    </row>
    <row r="54">
      <c r="A54" s="7">
        <v>400009.0</v>
      </c>
      <c r="B54" s="7">
        <v>10.0</v>
      </c>
      <c r="C54" s="7">
        <v>31.0</v>
      </c>
      <c r="D54" s="7">
        <v>0.03</v>
      </c>
      <c r="E54" s="7">
        <v>0.5</v>
      </c>
      <c r="F54" s="7" t="s">
        <v>14</v>
      </c>
      <c r="G54" s="7" t="s">
        <v>14</v>
      </c>
      <c r="H54" s="7">
        <v>2048.0</v>
      </c>
      <c r="I54" s="7">
        <v>200.0</v>
      </c>
      <c r="J54" s="7">
        <v>1200.0</v>
      </c>
      <c r="K54" s="37">
        <f t="shared" si="19"/>
        <v>256</v>
      </c>
      <c r="L54" s="37">
        <f t="shared" si="20"/>
        <v>8192</v>
      </c>
      <c r="M54" s="39">
        <v>3227.0</v>
      </c>
      <c r="N54" s="24"/>
      <c r="O54" s="24"/>
      <c r="P54" s="40">
        <f t="shared" si="16"/>
        <v>1132</v>
      </c>
      <c r="Q54" s="24"/>
      <c r="R54" s="24"/>
      <c r="S54" s="51">
        <v>400009.0</v>
      </c>
      <c r="T54" s="51">
        <v>10.0</v>
      </c>
      <c r="U54" s="51">
        <v>31.0</v>
      </c>
      <c r="V54" s="51">
        <v>0.03</v>
      </c>
      <c r="W54" s="51">
        <v>0.5</v>
      </c>
      <c r="X54" s="51" t="s">
        <v>14</v>
      </c>
      <c r="Y54" s="51" t="s">
        <v>14</v>
      </c>
      <c r="Z54" s="51">
        <v>2048.0</v>
      </c>
      <c r="AA54" s="51">
        <v>200.0</v>
      </c>
      <c r="AB54" s="51">
        <v>1200.0</v>
      </c>
      <c r="AC54" s="51">
        <v>256.0</v>
      </c>
      <c r="AD54" s="52">
        <v>8192.0</v>
      </c>
      <c r="AE54" s="53">
        <v>4359.0</v>
      </c>
      <c r="AF54" s="45"/>
      <c r="AG54" s="45"/>
      <c r="AH54" s="40">
        <f t="shared" si="17"/>
        <v>-397</v>
      </c>
      <c r="AI54" s="45"/>
      <c r="AJ54" s="45"/>
      <c r="AK54" s="55">
        <v>400009.0</v>
      </c>
      <c r="AL54" s="55">
        <v>10.0</v>
      </c>
      <c r="AM54" s="55">
        <v>31.0</v>
      </c>
      <c r="AN54" s="55">
        <v>0.03</v>
      </c>
      <c r="AO54" s="55">
        <v>0.5</v>
      </c>
      <c r="AP54" s="55" t="s">
        <v>14</v>
      </c>
      <c r="AQ54" s="55" t="s">
        <v>14</v>
      </c>
      <c r="AR54" s="55">
        <v>2048.0</v>
      </c>
      <c r="AS54" s="55">
        <v>200.0</v>
      </c>
      <c r="AT54" s="55">
        <v>1200.0</v>
      </c>
      <c r="AU54" s="55">
        <v>256.0</v>
      </c>
      <c r="AV54" s="56">
        <v>8192.0</v>
      </c>
      <c r="AW54" s="57">
        <v>3962.0</v>
      </c>
      <c r="AX54" s="45"/>
      <c r="AY54" s="45"/>
      <c r="AZ54" s="45"/>
      <c r="BA54" s="45"/>
      <c r="BB54" s="45"/>
      <c r="BC54" s="45"/>
      <c r="BD54" s="45"/>
      <c r="BE54" s="45"/>
      <c r="BF54" s="45"/>
      <c r="BG54" s="45"/>
      <c r="BH54" s="45"/>
      <c r="BI54" s="45"/>
      <c r="BJ54" s="45"/>
      <c r="BK54" s="45"/>
      <c r="BL54" s="45"/>
      <c r="BM54" s="45"/>
      <c r="BN54" s="45"/>
    </row>
    <row r="55">
      <c r="A55" s="7">
        <v>400009.0</v>
      </c>
      <c r="B55" s="7">
        <v>10.0</v>
      </c>
      <c r="C55" s="7">
        <v>31.0</v>
      </c>
      <c r="D55" s="7">
        <v>0.03</v>
      </c>
      <c r="E55" s="7">
        <v>0.5</v>
      </c>
      <c r="F55" s="7" t="s">
        <v>14</v>
      </c>
      <c r="G55" s="7" t="s">
        <v>14</v>
      </c>
      <c r="H55" s="7">
        <v>2048.0</v>
      </c>
      <c r="I55" s="7">
        <v>200.0</v>
      </c>
      <c r="J55" s="7">
        <v>1250.0</v>
      </c>
      <c r="K55" s="37">
        <f t="shared" si="19"/>
        <v>256</v>
      </c>
      <c r="L55" s="37">
        <f t="shared" si="20"/>
        <v>8192</v>
      </c>
      <c r="M55" s="39">
        <v>3078.0</v>
      </c>
      <c r="N55" s="24"/>
      <c r="O55" s="24"/>
      <c r="P55" s="40">
        <f t="shared" si="16"/>
        <v>1202</v>
      </c>
      <c r="Q55" s="24"/>
      <c r="R55" s="24"/>
      <c r="S55" s="51">
        <v>400009.0</v>
      </c>
      <c r="T55" s="51">
        <v>10.0</v>
      </c>
      <c r="U55" s="51">
        <v>31.0</v>
      </c>
      <c r="V55" s="51">
        <v>0.03</v>
      </c>
      <c r="W55" s="51">
        <v>0.5</v>
      </c>
      <c r="X55" s="51" t="s">
        <v>14</v>
      </c>
      <c r="Y55" s="51" t="s">
        <v>14</v>
      </c>
      <c r="Z55" s="51">
        <v>2048.0</v>
      </c>
      <c r="AA55" s="51">
        <v>200.0</v>
      </c>
      <c r="AB55" s="51">
        <v>1250.0</v>
      </c>
      <c r="AC55" s="51">
        <v>256.0</v>
      </c>
      <c r="AD55" s="52">
        <v>8192.0</v>
      </c>
      <c r="AE55" s="53">
        <v>4280.0</v>
      </c>
      <c r="AF55" s="45"/>
      <c r="AG55" s="45"/>
      <c r="AH55" s="40">
        <f t="shared" si="17"/>
        <v>-487</v>
      </c>
      <c r="AI55" s="45"/>
      <c r="AJ55" s="45"/>
      <c r="AK55" s="55">
        <v>400009.0</v>
      </c>
      <c r="AL55" s="55">
        <v>10.0</v>
      </c>
      <c r="AM55" s="55">
        <v>31.0</v>
      </c>
      <c r="AN55" s="55">
        <v>0.03</v>
      </c>
      <c r="AO55" s="55">
        <v>0.5</v>
      </c>
      <c r="AP55" s="55" t="s">
        <v>14</v>
      </c>
      <c r="AQ55" s="55" t="s">
        <v>14</v>
      </c>
      <c r="AR55" s="55">
        <v>2048.0</v>
      </c>
      <c r="AS55" s="55">
        <v>200.0</v>
      </c>
      <c r="AT55" s="55">
        <v>1250.0</v>
      </c>
      <c r="AU55" s="55">
        <v>256.0</v>
      </c>
      <c r="AV55" s="56">
        <v>8192.0</v>
      </c>
      <c r="AW55" s="57">
        <v>3793.0</v>
      </c>
      <c r="AX55" s="45"/>
      <c r="AY55" s="45"/>
      <c r="AZ55" s="45"/>
      <c r="BA55" s="45"/>
      <c r="BB55" s="45"/>
      <c r="BC55" s="45"/>
      <c r="BD55" s="45"/>
      <c r="BE55" s="45"/>
      <c r="BF55" s="45"/>
      <c r="BG55" s="45"/>
      <c r="BH55" s="45"/>
      <c r="BI55" s="45"/>
      <c r="BJ55" s="45"/>
      <c r="BK55" s="45"/>
      <c r="BL55" s="45"/>
      <c r="BM55" s="45"/>
      <c r="BN55" s="45"/>
    </row>
    <row r="56">
      <c r="A56" s="7">
        <v>400009.0</v>
      </c>
      <c r="B56" s="7">
        <v>10.0</v>
      </c>
      <c r="C56" s="7">
        <v>31.0</v>
      </c>
      <c r="D56" s="7">
        <v>0.03</v>
      </c>
      <c r="E56" s="7">
        <v>0.5</v>
      </c>
      <c r="F56" s="7" t="s">
        <v>14</v>
      </c>
      <c r="G56" s="7" t="s">
        <v>14</v>
      </c>
      <c r="H56" s="7">
        <v>2048.0</v>
      </c>
      <c r="I56" s="7">
        <v>200.0</v>
      </c>
      <c r="J56" s="7">
        <v>1300.0</v>
      </c>
      <c r="K56" s="37">
        <f t="shared" si="19"/>
        <v>256</v>
      </c>
      <c r="L56" s="37">
        <f t="shared" si="20"/>
        <v>8192</v>
      </c>
      <c r="M56" s="39">
        <v>4468.0</v>
      </c>
      <c r="N56" s="24"/>
      <c r="O56" s="24"/>
      <c r="P56" s="40">
        <f t="shared" si="16"/>
        <v>-367</v>
      </c>
      <c r="Q56" s="24"/>
      <c r="R56" s="24"/>
      <c r="S56" s="51">
        <v>400009.0</v>
      </c>
      <c r="T56" s="58">
        <v>10.0</v>
      </c>
      <c r="U56" s="58">
        <v>31.0</v>
      </c>
      <c r="V56" s="58">
        <v>0.03</v>
      </c>
      <c r="W56" s="58">
        <v>0.5</v>
      </c>
      <c r="X56" s="58" t="s">
        <v>14</v>
      </c>
      <c r="Y56" s="58" t="s">
        <v>14</v>
      </c>
      <c r="Z56" s="58">
        <v>2048.0</v>
      </c>
      <c r="AA56" s="58">
        <v>200.0</v>
      </c>
      <c r="AB56" s="58">
        <v>1300.0</v>
      </c>
      <c r="AC56" s="58">
        <v>256.0</v>
      </c>
      <c r="AD56" s="59">
        <v>8192.0</v>
      </c>
      <c r="AE56" s="53">
        <v>4101.0</v>
      </c>
      <c r="AF56" s="45"/>
      <c r="AG56" s="45"/>
      <c r="AH56" s="40">
        <f t="shared" si="17"/>
        <v>-437</v>
      </c>
      <c r="AI56" s="45"/>
      <c r="AJ56" s="45"/>
      <c r="AK56" s="55">
        <v>400009.0</v>
      </c>
      <c r="AL56" s="60">
        <v>10.0</v>
      </c>
      <c r="AM56" s="60">
        <v>31.0</v>
      </c>
      <c r="AN56" s="60">
        <v>0.03</v>
      </c>
      <c r="AO56" s="60">
        <v>0.5</v>
      </c>
      <c r="AP56" s="60" t="s">
        <v>14</v>
      </c>
      <c r="AQ56" s="60" t="s">
        <v>14</v>
      </c>
      <c r="AR56" s="60">
        <v>2048.0</v>
      </c>
      <c r="AS56" s="60">
        <v>200.0</v>
      </c>
      <c r="AT56" s="60">
        <v>1300.0</v>
      </c>
      <c r="AU56" s="60">
        <v>256.0</v>
      </c>
      <c r="AV56" s="61">
        <v>8192.0</v>
      </c>
      <c r="AW56" s="57">
        <v>3664.0</v>
      </c>
      <c r="AX56" s="45"/>
      <c r="AY56" s="45"/>
      <c r="AZ56" s="45"/>
      <c r="BA56" s="45"/>
      <c r="BB56" s="45"/>
      <c r="BC56" s="45"/>
      <c r="BD56" s="45"/>
      <c r="BE56" s="45"/>
      <c r="BF56" s="45"/>
      <c r="BG56" s="45"/>
      <c r="BH56" s="45"/>
      <c r="BI56" s="45"/>
      <c r="BJ56" s="45"/>
      <c r="BK56" s="45"/>
      <c r="BL56" s="45"/>
      <c r="BM56" s="45"/>
      <c r="BN56" s="45"/>
    </row>
    <row r="57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62"/>
      <c r="N57" s="24"/>
      <c r="O57" s="24"/>
      <c r="P57" s="63">
        <f>SUM(P46:P56)</f>
        <v>5817</v>
      </c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62">
        <f>SUM(AE46:AE56)</f>
        <v>47053</v>
      </c>
      <c r="AF57" s="62"/>
      <c r="AG57" s="64" t="s">
        <v>34</v>
      </c>
      <c r="AH57" s="63">
        <f>SUM(AH46:AH56)</f>
        <v>-5221</v>
      </c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>
        <f>SUM(AW46:AW56)</f>
        <v>41832</v>
      </c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</row>
    <row r="58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62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  <c r="BA58" s="62"/>
      <c r="BB58" s="62"/>
      <c r="BC58" s="62"/>
      <c r="BD58" s="62"/>
      <c r="BE58" s="62"/>
      <c r="BF58" s="62"/>
      <c r="BG58" s="62"/>
      <c r="BH58" s="62"/>
      <c r="BI58" s="62"/>
      <c r="BJ58" s="62"/>
      <c r="BK58" s="62"/>
      <c r="BL58" s="62"/>
      <c r="BM58" s="62"/>
      <c r="BN58" s="62"/>
    </row>
    <row r="59">
      <c r="A59" s="34" t="s">
        <v>0</v>
      </c>
      <c r="B59" s="34" t="s">
        <v>1</v>
      </c>
      <c r="C59" s="34" t="s">
        <v>2</v>
      </c>
      <c r="D59" s="34" t="s">
        <v>3</v>
      </c>
      <c r="E59" s="34" t="s">
        <v>4</v>
      </c>
      <c r="F59" s="34" t="s">
        <v>5</v>
      </c>
      <c r="G59" s="34" t="s">
        <v>6</v>
      </c>
      <c r="H59" s="34" t="s">
        <v>7</v>
      </c>
      <c r="I59" s="34" t="s">
        <v>8</v>
      </c>
      <c r="J59" s="34" t="s">
        <v>9</v>
      </c>
      <c r="K59" s="34" t="s">
        <v>10</v>
      </c>
      <c r="L59" s="34" t="s">
        <v>11</v>
      </c>
      <c r="M59" s="35" t="s">
        <v>12</v>
      </c>
      <c r="N59" s="71" t="s">
        <v>38</v>
      </c>
      <c r="O59" s="24"/>
      <c r="P59" s="33" t="s">
        <v>33</v>
      </c>
      <c r="Q59" s="24"/>
      <c r="R59" s="24"/>
      <c r="S59" s="34" t="s">
        <v>0</v>
      </c>
      <c r="T59" s="34" t="s">
        <v>1</v>
      </c>
      <c r="U59" s="34" t="s">
        <v>2</v>
      </c>
      <c r="V59" s="34" t="s">
        <v>3</v>
      </c>
      <c r="W59" s="34" t="s">
        <v>4</v>
      </c>
      <c r="X59" s="34" t="s">
        <v>5</v>
      </c>
      <c r="Y59" s="34" t="s">
        <v>6</v>
      </c>
      <c r="Z59" s="34" t="s">
        <v>7</v>
      </c>
      <c r="AA59" s="34" t="s">
        <v>8</v>
      </c>
      <c r="AB59" s="34" t="s">
        <v>9</v>
      </c>
      <c r="AC59" s="34" t="s">
        <v>10</v>
      </c>
      <c r="AD59" s="34" t="s">
        <v>11</v>
      </c>
      <c r="AE59" s="35" t="s">
        <v>12</v>
      </c>
      <c r="AF59" s="62"/>
      <c r="AG59" s="62"/>
      <c r="AH59" s="33" t="s">
        <v>33</v>
      </c>
      <c r="AI59" s="62"/>
      <c r="AJ59" s="72" t="s">
        <v>35</v>
      </c>
      <c r="AK59" s="34" t="s">
        <v>0</v>
      </c>
      <c r="AL59" s="73"/>
      <c r="AM59" s="73"/>
      <c r="AN59" s="73"/>
      <c r="AO59" s="73"/>
      <c r="AP59" s="73"/>
      <c r="AQ59" s="73"/>
      <c r="AR59" s="73"/>
      <c r="AS59" s="73"/>
      <c r="AT59" s="34" t="s">
        <v>9</v>
      </c>
      <c r="AU59" s="34" t="s">
        <v>10</v>
      </c>
      <c r="AV59" s="34" t="s">
        <v>11</v>
      </c>
      <c r="AW59" s="35" t="s">
        <v>12</v>
      </c>
      <c r="AX59" s="62"/>
      <c r="AY59" s="62"/>
      <c r="AZ59" s="62"/>
      <c r="BA59" s="62"/>
      <c r="BB59" s="62"/>
      <c r="BC59" s="62"/>
      <c r="BD59" s="62"/>
      <c r="BE59" s="62"/>
      <c r="BF59" s="62"/>
      <c r="BG59" s="62"/>
      <c r="BH59" s="62"/>
      <c r="BI59" s="62"/>
      <c r="BJ59" s="62"/>
      <c r="BK59" s="62"/>
      <c r="BL59" s="62"/>
      <c r="BM59" s="62"/>
      <c r="BN59" s="62"/>
    </row>
    <row r="60">
      <c r="A60" s="7">
        <v>500041.0</v>
      </c>
      <c r="B60" s="74">
        <v>10.0</v>
      </c>
      <c r="C60" s="74">
        <v>31.0</v>
      </c>
      <c r="D60" s="74">
        <v>0.03</v>
      </c>
      <c r="E60" s="74">
        <v>0.5</v>
      </c>
      <c r="F60" s="74" t="s">
        <v>14</v>
      </c>
      <c r="G60" s="74" t="s">
        <v>14</v>
      </c>
      <c r="H60" s="74">
        <v>2048.0</v>
      </c>
      <c r="I60" s="74">
        <v>200.0</v>
      </c>
      <c r="J60" s="7">
        <v>800.0</v>
      </c>
      <c r="K60" s="74">
        <v>256.0</v>
      </c>
      <c r="L60" s="75">
        <v>8192.0</v>
      </c>
      <c r="M60" s="39">
        <v>3654.0</v>
      </c>
      <c r="O60" s="24"/>
      <c r="P60" s="40">
        <f t="shared" ref="P60:P70" si="21">AE60-M60</f>
        <v>814</v>
      </c>
      <c r="Q60" s="24"/>
      <c r="R60" s="24"/>
      <c r="S60" s="69">
        <v>500041.0</v>
      </c>
      <c r="T60" s="42">
        <v>10.0</v>
      </c>
      <c r="U60" s="42">
        <v>31.0</v>
      </c>
      <c r="V60" s="42">
        <v>0.03</v>
      </c>
      <c r="W60" s="42">
        <v>0.5</v>
      </c>
      <c r="X60" s="42" t="s">
        <v>14</v>
      </c>
      <c r="Y60" s="42" t="s">
        <v>14</v>
      </c>
      <c r="Z60" s="42">
        <v>2048.0</v>
      </c>
      <c r="AA60" s="42">
        <v>200.0</v>
      </c>
      <c r="AB60" s="69">
        <v>800.0</v>
      </c>
      <c r="AC60" s="42">
        <v>256.0</v>
      </c>
      <c r="AD60" s="43">
        <v>8192.0</v>
      </c>
      <c r="AE60" s="76">
        <v>4468.0</v>
      </c>
      <c r="AF60" s="62"/>
      <c r="AG60" s="62"/>
      <c r="AH60" s="40">
        <f t="shared" ref="AH60:AH70" si="22">AW60-AE60</f>
        <v>-506</v>
      </c>
      <c r="AI60" s="62"/>
      <c r="AK60" s="70">
        <v>500041.0</v>
      </c>
      <c r="AL60" s="73"/>
      <c r="AM60" s="73"/>
      <c r="AN60" s="73"/>
      <c r="AO60" s="73"/>
      <c r="AP60" s="73"/>
      <c r="AQ60" s="73"/>
      <c r="AR60" s="73"/>
      <c r="AS60" s="73"/>
      <c r="AT60" s="47">
        <v>800.0</v>
      </c>
      <c r="AU60" s="47">
        <v>256.0</v>
      </c>
      <c r="AV60" s="48">
        <v>8192.0</v>
      </c>
      <c r="AW60" s="49">
        <v>3962.0</v>
      </c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62"/>
      <c r="BI60" s="62"/>
      <c r="BJ60" s="62"/>
      <c r="BK60" s="62"/>
      <c r="BL60" s="62"/>
      <c r="BM60" s="62"/>
      <c r="BN60" s="62"/>
    </row>
    <row r="61">
      <c r="A61" s="7">
        <v>500041.0</v>
      </c>
      <c r="B61" s="77"/>
      <c r="C61" s="77"/>
      <c r="D61" s="77"/>
      <c r="E61" s="77"/>
      <c r="F61" s="77"/>
      <c r="G61" s="77"/>
      <c r="H61" s="77"/>
      <c r="I61" s="77"/>
      <c r="J61" s="7">
        <v>850.0</v>
      </c>
      <c r="K61" s="77"/>
      <c r="L61" s="77"/>
      <c r="M61" s="39">
        <v>4240.0</v>
      </c>
      <c r="O61" s="78"/>
      <c r="P61" s="40">
        <f t="shared" si="21"/>
        <v>69</v>
      </c>
      <c r="S61" s="69">
        <v>500041.0</v>
      </c>
      <c r="AB61" s="69">
        <v>850.0</v>
      </c>
      <c r="AE61" s="76">
        <v>4309.0</v>
      </c>
      <c r="AH61" s="40">
        <f t="shared" si="22"/>
        <v>-526</v>
      </c>
      <c r="AI61" s="79"/>
      <c r="AK61" s="70">
        <v>500041.0</v>
      </c>
      <c r="AL61" s="79"/>
      <c r="AM61" s="79"/>
      <c r="AN61" s="79"/>
      <c r="AO61" s="79"/>
      <c r="AP61" s="79"/>
      <c r="AQ61" s="79"/>
      <c r="AR61" s="79"/>
      <c r="AS61" s="79"/>
      <c r="AT61" s="55">
        <v>850.0</v>
      </c>
      <c r="AU61" s="79"/>
      <c r="AV61" s="79"/>
      <c r="AW61" s="57">
        <v>3783.0</v>
      </c>
      <c r="AX61" s="79"/>
      <c r="AY61" s="79"/>
      <c r="AZ61" s="79"/>
      <c r="BA61" s="79"/>
      <c r="BB61" s="79"/>
      <c r="BC61" s="79"/>
      <c r="BD61" s="79"/>
      <c r="BE61" s="79"/>
      <c r="BF61" s="79"/>
      <c r="BG61" s="79"/>
      <c r="BH61" s="79"/>
      <c r="BI61" s="79"/>
      <c r="BJ61" s="79"/>
      <c r="BK61" s="79"/>
      <c r="BL61" s="79"/>
      <c r="BM61" s="79"/>
      <c r="BN61" s="79"/>
    </row>
    <row r="62">
      <c r="A62" s="7">
        <v>500041.0</v>
      </c>
      <c r="B62" s="80"/>
      <c r="C62" s="80"/>
      <c r="D62" s="80"/>
      <c r="E62" s="80"/>
      <c r="F62" s="80"/>
      <c r="G62" s="80"/>
      <c r="H62" s="80"/>
      <c r="I62" s="80"/>
      <c r="J62" s="7">
        <v>900.0</v>
      </c>
      <c r="K62" s="80"/>
      <c r="L62" s="80"/>
      <c r="M62" s="39">
        <v>4081.0</v>
      </c>
      <c r="O62" s="24"/>
      <c r="P62" s="40">
        <f t="shared" si="21"/>
        <v>467</v>
      </c>
      <c r="Q62" s="24"/>
      <c r="R62" s="24"/>
      <c r="S62" s="69">
        <v>500041.0</v>
      </c>
      <c r="T62" s="24"/>
      <c r="U62" s="24"/>
      <c r="V62" s="24"/>
      <c r="W62" s="24"/>
      <c r="X62" s="24"/>
      <c r="Y62" s="24"/>
      <c r="Z62" s="24"/>
      <c r="AA62" s="24"/>
      <c r="AB62" s="69">
        <v>900.0</v>
      </c>
      <c r="AC62" s="24"/>
      <c r="AD62" s="24"/>
      <c r="AE62" s="76">
        <v>4548.0</v>
      </c>
      <c r="AF62" s="62"/>
      <c r="AG62" s="62"/>
      <c r="AH62" s="40">
        <f t="shared" si="22"/>
        <v>-467</v>
      </c>
      <c r="AI62" s="62"/>
      <c r="AK62" s="70">
        <v>500041.0</v>
      </c>
      <c r="AL62" s="62"/>
      <c r="AM62" s="62"/>
      <c r="AN62" s="62"/>
      <c r="AO62" s="62"/>
      <c r="AP62" s="62"/>
      <c r="AQ62" s="62"/>
      <c r="AR62" s="62"/>
      <c r="AS62" s="62"/>
      <c r="AT62" s="55">
        <v>900.0</v>
      </c>
      <c r="AU62" s="62"/>
      <c r="AV62" s="62"/>
      <c r="AW62" s="57">
        <v>4081.0</v>
      </c>
      <c r="AX62" s="62"/>
      <c r="AY62" s="62"/>
      <c r="AZ62" s="62"/>
      <c r="BA62" s="62"/>
      <c r="BB62" s="62"/>
      <c r="BC62" s="62"/>
      <c r="BD62" s="62"/>
      <c r="BE62" s="62"/>
      <c r="BF62" s="62"/>
      <c r="BG62" s="62"/>
      <c r="BH62" s="62"/>
      <c r="BI62" s="62"/>
      <c r="BJ62" s="62"/>
      <c r="BK62" s="62"/>
      <c r="BL62" s="62"/>
      <c r="BM62" s="62"/>
      <c r="BN62" s="62"/>
    </row>
    <row r="63">
      <c r="A63" s="7">
        <v>500041.0</v>
      </c>
      <c r="B63" s="80"/>
      <c r="C63" s="80"/>
      <c r="D63" s="80"/>
      <c r="E63" s="80"/>
      <c r="F63" s="80"/>
      <c r="G63" s="80"/>
      <c r="H63" s="80"/>
      <c r="I63" s="80"/>
      <c r="J63" s="81">
        <v>950.0</v>
      </c>
      <c r="K63" s="80"/>
      <c r="L63" s="80"/>
      <c r="M63" s="39">
        <v>4359.0</v>
      </c>
      <c r="O63" s="24"/>
      <c r="P63" s="40">
        <f t="shared" si="21"/>
        <v>0</v>
      </c>
      <c r="Q63" s="24"/>
      <c r="R63" s="24"/>
      <c r="S63" s="69">
        <v>500041.0</v>
      </c>
      <c r="T63" s="24"/>
      <c r="U63" s="24"/>
      <c r="V63" s="24"/>
      <c r="W63" s="24"/>
      <c r="X63" s="24"/>
      <c r="Y63" s="24"/>
      <c r="Z63" s="24"/>
      <c r="AA63" s="24"/>
      <c r="AB63" s="51">
        <v>950.0</v>
      </c>
      <c r="AC63" s="24"/>
      <c r="AD63" s="24"/>
      <c r="AE63" s="76">
        <v>4359.0</v>
      </c>
      <c r="AF63" s="62"/>
      <c r="AG63" s="62"/>
      <c r="AH63" s="40">
        <f t="shared" si="22"/>
        <v>367</v>
      </c>
      <c r="AI63" s="62"/>
      <c r="AK63" s="70">
        <v>500041.0</v>
      </c>
      <c r="AL63" s="62"/>
      <c r="AM63" s="62"/>
      <c r="AN63" s="62"/>
      <c r="AO63" s="62"/>
      <c r="AP63" s="62"/>
      <c r="AQ63" s="62"/>
      <c r="AR63" s="62"/>
      <c r="AS63" s="62"/>
      <c r="AT63" s="55">
        <v>950.0</v>
      </c>
      <c r="AU63" s="62"/>
      <c r="AV63" s="62"/>
      <c r="AW63" s="57">
        <v>4726.0</v>
      </c>
      <c r="AX63" s="62"/>
      <c r="AY63" s="62"/>
      <c r="AZ63" s="62"/>
      <c r="BA63" s="62"/>
      <c r="BB63" s="62"/>
      <c r="BC63" s="62"/>
      <c r="BD63" s="62"/>
      <c r="BE63" s="62"/>
      <c r="BF63" s="62"/>
      <c r="BG63" s="62"/>
      <c r="BH63" s="62"/>
      <c r="BI63" s="62"/>
      <c r="BJ63" s="62"/>
      <c r="BK63" s="62"/>
      <c r="BL63" s="62"/>
      <c r="BM63" s="62"/>
      <c r="BN63" s="62"/>
    </row>
    <row r="64">
      <c r="A64" s="7">
        <v>500041.0</v>
      </c>
      <c r="B64" s="80"/>
      <c r="C64" s="80"/>
      <c r="D64" s="80"/>
      <c r="E64" s="80"/>
      <c r="F64" s="80"/>
      <c r="G64" s="80"/>
      <c r="H64" s="80"/>
      <c r="I64" s="80"/>
      <c r="J64" s="81">
        <v>1000.0</v>
      </c>
      <c r="K64" s="80"/>
      <c r="L64" s="80"/>
      <c r="M64" s="39">
        <v>4200.0</v>
      </c>
      <c r="O64" s="24"/>
      <c r="P64" s="40">
        <f t="shared" si="21"/>
        <v>-40</v>
      </c>
      <c r="Q64" s="24"/>
      <c r="R64" s="24"/>
      <c r="S64" s="69">
        <v>500041.0</v>
      </c>
      <c r="T64" s="24"/>
      <c r="U64" s="24"/>
      <c r="V64" s="24"/>
      <c r="W64" s="24"/>
      <c r="X64" s="24"/>
      <c r="Y64" s="24"/>
      <c r="Z64" s="24"/>
      <c r="AA64" s="24"/>
      <c r="AB64" s="51">
        <v>1000.0</v>
      </c>
      <c r="AC64" s="24"/>
      <c r="AD64" s="24"/>
      <c r="AE64" s="76">
        <v>4160.0</v>
      </c>
      <c r="AF64" s="62"/>
      <c r="AG64" s="62"/>
      <c r="AH64" s="40">
        <f t="shared" si="22"/>
        <v>815</v>
      </c>
      <c r="AI64" s="62"/>
      <c r="AK64" s="70">
        <v>500041.0</v>
      </c>
      <c r="AL64" s="62"/>
      <c r="AM64" s="62"/>
      <c r="AN64" s="62"/>
      <c r="AO64" s="62"/>
      <c r="AP64" s="62"/>
      <c r="AQ64" s="62"/>
      <c r="AR64" s="62"/>
      <c r="AS64" s="62"/>
      <c r="AT64" s="55">
        <v>1000.0</v>
      </c>
      <c r="AU64" s="62"/>
      <c r="AV64" s="62"/>
      <c r="AW64" s="57">
        <v>4975.0</v>
      </c>
      <c r="AX64" s="62"/>
      <c r="AY64" s="62"/>
      <c r="AZ64" s="62"/>
      <c r="BA64" s="62"/>
      <c r="BB64" s="62"/>
      <c r="BC64" s="62"/>
      <c r="BD64" s="62"/>
      <c r="BE64" s="62"/>
      <c r="BF64" s="62"/>
      <c r="BG64" s="62"/>
      <c r="BH64" s="62"/>
      <c r="BI64" s="62"/>
      <c r="BJ64" s="62"/>
      <c r="BK64" s="62"/>
      <c r="BL64" s="62"/>
      <c r="BM64" s="62"/>
      <c r="BN64" s="62"/>
    </row>
    <row r="65">
      <c r="A65" s="7">
        <v>500041.0</v>
      </c>
      <c r="B65" s="80"/>
      <c r="C65" s="80"/>
      <c r="D65" s="80"/>
      <c r="E65" s="80"/>
      <c r="F65" s="80"/>
      <c r="G65" s="80"/>
      <c r="H65" s="80"/>
      <c r="I65" s="80"/>
      <c r="J65" s="81">
        <v>1050.0</v>
      </c>
      <c r="K65" s="80"/>
      <c r="L65" s="80"/>
      <c r="M65" s="39">
        <v>4071.0</v>
      </c>
      <c r="O65" s="24"/>
      <c r="P65" s="40">
        <f t="shared" si="21"/>
        <v>-79</v>
      </c>
      <c r="Q65" s="24"/>
      <c r="R65" s="24"/>
      <c r="S65" s="69">
        <v>500041.0</v>
      </c>
      <c r="T65" s="24"/>
      <c r="U65" s="24"/>
      <c r="V65" s="24"/>
      <c r="W65" s="24"/>
      <c r="X65" s="24"/>
      <c r="Y65" s="24"/>
      <c r="Z65" s="24"/>
      <c r="AA65" s="24"/>
      <c r="AB65" s="51">
        <v>1050.0</v>
      </c>
      <c r="AC65" s="24"/>
      <c r="AD65" s="24"/>
      <c r="AE65" s="76">
        <v>3992.0</v>
      </c>
      <c r="AF65" s="62"/>
      <c r="AG65" s="62"/>
      <c r="AH65" s="40">
        <f t="shared" si="22"/>
        <v>824</v>
      </c>
      <c r="AI65" s="62"/>
      <c r="AK65" s="70">
        <v>500041.0</v>
      </c>
      <c r="AL65" s="62"/>
      <c r="AM65" s="62"/>
      <c r="AN65" s="62"/>
      <c r="AO65" s="62"/>
      <c r="AP65" s="62"/>
      <c r="AQ65" s="62"/>
      <c r="AR65" s="62"/>
      <c r="AS65" s="62"/>
      <c r="AT65" s="55">
        <v>1050.0</v>
      </c>
      <c r="AU65" s="62"/>
      <c r="AV65" s="62"/>
      <c r="AW65" s="57">
        <v>4816.0</v>
      </c>
      <c r="AX65" s="62"/>
      <c r="AY65" s="62"/>
      <c r="AZ65" s="62"/>
      <c r="BA65" s="62"/>
      <c r="BB65" s="62"/>
      <c r="BC65" s="62"/>
      <c r="BD65" s="62"/>
      <c r="BE65" s="62"/>
      <c r="BF65" s="62"/>
      <c r="BG65" s="62"/>
      <c r="BH65" s="62"/>
      <c r="BI65" s="62"/>
      <c r="BJ65" s="62"/>
      <c r="BK65" s="62"/>
      <c r="BL65" s="62"/>
      <c r="BM65" s="62"/>
      <c r="BN65" s="62"/>
    </row>
    <row r="66">
      <c r="A66" s="7">
        <v>500041.0</v>
      </c>
      <c r="B66" s="80"/>
      <c r="C66" s="80"/>
      <c r="D66" s="80"/>
      <c r="E66" s="80"/>
      <c r="F66" s="80"/>
      <c r="G66" s="80"/>
      <c r="H66" s="80"/>
      <c r="I66" s="80"/>
      <c r="J66" s="81">
        <v>1100.0</v>
      </c>
      <c r="K66" s="80"/>
      <c r="L66" s="80"/>
      <c r="M66" s="39">
        <v>3872.0</v>
      </c>
      <c r="O66" s="24"/>
      <c r="P66" s="40">
        <f t="shared" si="21"/>
        <v>0</v>
      </c>
      <c r="Q66" s="24"/>
      <c r="R66" s="24"/>
      <c r="S66" s="69">
        <v>500041.0</v>
      </c>
      <c r="T66" s="24"/>
      <c r="U66" s="24"/>
      <c r="V66" s="24"/>
      <c r="W66" s="24"/>
      <c r="X66" s="24"/>
      <c r="Y66" s="24"/>
      <c r="Z66" s="24"/>
      <c r="AA66" s="24"/>
      <c r="AB66" s="51">
        <v>1100.0</v>
      </c>
      <c r="AC66" s="24"/>
      <c r="AD66" s="24"/>
      <c r="AE66" s="76">
        <v>3872.0</v>
      </c>
      <c r="AF66" s="62"/>
      <c r="AG66" s="62"/>
      <c r="AH66" s="40">
        <f t="shared" si="22"/>
        <v>815</v>
      </c>
      <c r="AI66" s="62"/>
      <c r="AK66" s="70">
        <v>500041.0</v>
      </c>
      <c r="AL66" s="62"/>
      <c r="AM66" s="62"/>
      <c r="AN66" s="62"/>
      <c r="AO66" s="62"/>
      <c r="AP66" s="62"/>
      <c r="AQ66" s="62"/>
      <c r="AR66" s="62"/>
      <c r="AS66" s="62"/>
      <c r="AT66" s="55">
        <v>1100.0</v>
      </c>
      <c r="AU66" s="62"/>
      <c r="AV66" s="62"/>
      <c r="AW66" s="57">
        <v>4687.0</v>
      </c>
      <c r="AX66" s="62"/>
      <c r="AY66" s="62"/>
      <c r="AZ66" s="62"/>
      <c r="BA66" s="62"/>
      <c r="BB66" s="62"/>
      <c r="BC66" s="62"/>
      <c r="BD66" s="62"/>
      <c r="BE66" s="62"/>
      <c r="BF66" s="62"/>
      <c r="BG66" s="62"/>
      <c r="BH66" s="62"/>
      <c r="BI66" s="62"/>
      <c r="BJ66" s="62"/>
      <c r="BK66" s="62"/>
      <c r="BL66" s="62"/>
      <c r="BM66" s="62"/>
      <c r="BN66" s="62"/>
    </row>
    <row r="67">
      <c r="A67" s="7">
        <v>500041.0</v>
      </c>
      <c r="B67" s="80"/>
      <c r="C67" s="80"/>
      <c r="D67" s="80"/>
      <c r="E67" s="80"/>
      <c r="F67" s="80"/>
      <c r="G67" s="80"/>
      <c r="H67" s="80"/>
      <c r="I67" s="80"/>
      <c r="J67" s="81">
        <v>1150.0</v>
      </c>
      <c r="K67" s="80"/>
      <c r="L67" s="80"/>
      <c r="M67" s="39">
        <v>3743.0</v>
      </c>
      <c r="O67" s="24"/>
      <c r="P67" s="40">
        <f t="shared" si="21"/>
        <v>30</v>
      </c>
      <c r="Q67" s="24"/>
      <c r="R67" s="24"/>
      <c r="S67" s="69">
        <v>500041.0</v>
      </c>
      <c r="T67" s="24"/>
      <c r="U67" s="24"/>
      <c r="V67" s="24"/>
      <c r="W67" s="24"/>
      <c r="X67" s="24"/>
      <c r="Y67" s="24"/>
      <c r="Z67" s="24"/>
      <c r="AA67" s="24"/>
      <c r="AB67" s="51">
        <v>1150.0</v>
      </c>
      <c r="AC67" s="24"/>
      <c r="AD67" s="24"/>
      <c r="AE67" s="76">
        <v>3773.0</v>
      </c>
      <c r="AF67" s="62"/>
      <c r="AG67" s="62"/>
      <c r="AH67" s="40">
        <f t="shared" si="22"/>
        <v>805</v>
      </c>
      <c r="AI67" s="62"/>
      <c r="AK67" s="70">
        <v>500041.0</v>
      </c>
      <c r="AL67" s="62"/>
      <c r="AM67" s="62"/>
      <c r="AN67" s="62"/>
      <c r="AO67" s="62"/>
      <c r="AP67" s="62"/>
      <c r="AQ67" s="62"/>
      <c r="AR67" s="62"/>
      <c r="AS67" s="62"/>
      <c r="AT67" s="55">
        <v>1150.0</v>
      </c>
      <c r="AU67" s="62"/>
      <c r="AV67" s="62"/>
      <c r="AW67" s="57">
        <v>4578.0</v>
      </c>
      <c r="AX67" s="62"/>
      <c r="AY67" s="62"/>
      <c r="AZ67" s="62"/>
      <c r="BA67" s="62"/>
      <c r="BB67" s="62"/>
      <c r="BC67" s="62"/>
      <c r="BD67" s="62"/>
      <c r="BE67" s="62"/>
      <c r="BF67" s="62"/>
      <c r="BG67" s="62"/>
      <c r="BH67" s="62"/>
      <c r="BI67" s="62"/>
      <c r="BJ67" s="62"/>
      <c r="BK67" s="62"/>
      <c r="BL67" s="62"/>
      <c r="BM67" s="62"/>
      <c r="BN67" s="62"/>
    </row>
    <row r="68">
      <c r="A68" s="7">
        <v>500041.0</v>
      </c>
      <c r="B68" s="80"/>
      <c r="C68" s="80"/>
      <c r="D68" s="80"/>
      <c r="E68" s="80"/>
      <c r="F68" s="80"/>
      <c r="G68" s="80"/>
      <c r="H68" s="80"/>
      <c r="I68" s="80"/>
      <c r="J68" s="81">
        <v>1200.0</v>
      </c>
      <c r="K68" s="80"/>
      <c r="L68" s="80"/>
      <c r="M68" s="39">
        <v>3594.0</v>
      </c>
      <c r="O68" s="24"/>
      <c r="P68" s="40">
        <f t="shared" si="21"/>
        <v>40</v>
      </c>
      <c r="Q68" s="24"/>
      <c r="R68" s="24"/>
      <c r="S68" s="69">
        <v>500041.0</v>
      </c>
      <c r="T68" s="24"/>
      <c r="U68" s="24"/>
      <c r="V68" s="24"/>
      <c r="W68" s="24"/>
      <c r="X68" s="24"/>
      <c r="Y68" s="24"/>
      <c r="Z68" s="24"/>
      <c r="AA68" s="24"/>
      <c r="AB68" s="51">
        <v>1200.0</v>
      </c>
      <c r="AC68" s="24"/>
      <c r="AD68" s="24"/>
      <c r="AE68" s="76">
        <v>3634.0</v>
      </c>
      <c r="AF68" s="62"/>
      <c r="AG68" s="62"/>
      <c r="AH68" s="40">
        <f t="shared" si="22"/>
        <v>795</v>
      </c>
      <c r="AI68" s="62"/>
      <c r="AK68" s="70">
        <v>500041.0</v>
      </c>
      <c r="AL68" s="62"/>
      <c r="AM68" s="62"/>
      <c r="AN68" s="62"/>
      <c r="AO68" s="62"/>
      <c r="AP68" s="62"/>
      <c r="AQ68" s="62"/>
      <c r="AR68" s="62"/>
      <c r="AS68" s="62"/>
      <c r="AT68" s="55">
        <v>1200.0</v>
      </c>
      <c r="AU68" s="62"/>
      <c r="AV68" s="62"/>
      <c r="AW68" s="57">
        <v>4429.0</v>
      </c>
      <c r="AX68" s="62"/>
      <c r="AY68" s="62"/>
      <c r="AZ68" s="62"/>
      <c r="BA68" s="62"/>
      <c r="BB68" s="62"/>
      <c r="BC68" s="62"/>
      <c r="BD68" s="62"/>
      <c r="BE68" s="62"/>
      <c r="BF68" s="62"/>
      <c r="BG68" s="62"/>
      <c r="BH68" s="62"/>
      <c r="BI68" s="62"/>
      <c r="BJ68" s="62"/>
      <c r="BK68" s="62"/>
      <c r="BL68" s="62"/>
      <c r="BM68" s="62"/>
      <c r="BN68" s="62"/>
    </row>
    <row r="69">
      <c r="A69" s="7">
        <v>500041.0</v>
      </c>
      <c r="B69" s="80"/>
      <c r="C69" s="80"/>
      <c r="D69" s="80"/>
      <c r="E69" s="80"/>
      <c r="F69" s="80"/>
      <c r="G69" s="80"/>
      <c r="H69" s="80"/>
      <c r="I69" s="80"/>
      <c r="J69" s="81">
        <v>1250.0</v>
      </c>
      <c r="K69" s="80"/>
      <c r="L69" s="80"/>
      <c r="M69" s="39">
        <v>3475.0</v>
      </c>
      <c r="O69" s="24"/>
      <c r="P69" s="40">
        <f t="shared" si="21"/>
        <v>368</v>
      </c>
      <c r="Q69" s="24"/>
      <c r="R69" s="24"/>
      <c r="S69" s="69">
        <v>500041.0</v>
      </c>
      <c r="T69" s="24"/>
      <c r="U69" s="24"/>
      <c r="V69" s="24"/>
      <c r="W69" s="24"/>
      <c r="X69" s="24"/>
      <c r="Y69" s="24"/>
      <c r="Z69" s="24"/>
      <c r="AA69" s="24"/>
      <c r="AB69" s="51">
        <v>1250.0</v>
      </c>
      <c r="AC69" s="24"/>
      <c r="AD69" s="24"/>
      <c r="AE69" s="76">
        <v>3843.0</v>
      </c>
      <c r="AF69" s="62"/>
      <c r="AG69" s="62"/>
      <c r="AH69" s="40">
        <f t="shared" si="22"/>
        <v>456</v>
      </c>
      <c r="AI69" s="62"/>
      <c r="AK69" s="70">
        <v>500041.0</v>
      </c>
      <c r="AL69" s="62"/>
      <c r="AM69" s="62"/>
      <c r="AN69" s="62"/>
      <c r="AO69" s="62"/>
      <c r="AP69" s="62"/>
      <c r="AQ69" s="62"/>
      <c r="AR69" s="62"/>
      <c r="AS69" s="62"/>
      <c r="AT69" s="55">
        <v>1250.0</v>
      </c>
      <c r="AU69" s="62"/>
      <c r="AV69" s="62"/>
      <c r="AW69" s="57">
        <v>4299.0</v>
      </c>
      <c r="AX69" s="62"/>
      <c r="AY69" s="62"/>
      <c r="AZ69" s="62"/>
      <c r="BA69" s="62"/>
      <c r="BB69" s="62"/>
      <c r="BC69" s="62"/>
      <c r="BD69" s="62"/>
      <c r="BE69" s="62"/>
      <c r="BF69" s="62"/>
      <c r="BG69" s="62"/>
      <c r="BH69" s="62"/>
      <c r="BI69" s="62"/>
      <c r="BJ69" s="62"/>
      <c r="BK69" s="62"/>
      <c r="BL69" s="62"/>
      <c r="BM69" s="62"/>
      <c r="BN69" s="62"/>
    </row>
    <row r="70">
      <c r="A70" s="7">
        <v>500041.0</v>
      </c>
      <c r="B70" s="80"/>
      <c r="C70" s="80"/>
      <c r="D70" s="80"/>
      <c r="E70" s="80"/>
      <c r="F70" s="80"/>
      <c r="G70" s="80"/>
      <c r="H70" s="80"/>
      <c r="I70" s="80"/>
      <c r="J70" s="82">
        <v>1300.0</v>
      </c>
      <c r="K70" s="80"/>
      <c r="L70" s="80"/>
      <c r="M70" s="39">
        <v>3316.0</v>
      </c>
      <c r="O70" s="24"/>
      <c r="P70" s="40">
        <f t="shared" si="21"/>
        <v>378</v>
      </c>
      <c r="Q70" s="24"/>
      <c r="R70" s="24"/>
      <c r="S70" s="69">
        <v>500041.0</v>
      </c>
      <c r="T70" s="24"/>
      <c r="U70" s="24"/>
      <c r="V70" s="24"/>
      <c r="W70" s="24"/>
      <c r="X70" s="24"/>
      <c r="Y70" s="24"/>
      <c r="Z70" s="24"/>
      <c r="AA70" s="24"/>
      <c r="AB70" s="58">
        <v>1300.0</v>
      </c>
      <c r="AC70" s="24"/>
      <c r="AD70" s="24"/>
      <c r="AE70" s="76">
        <v>3694.0</v>
      </c>
      <c r="AF70" s="62"/>
      <c r="AG70" s="62"/>
      <c r="AH70" s="40">
        <f t="shared" si="22"/>
        <v>417</v>
      </c>
      <c r="AI70" s="62"/>
      <c r="AK70" s="70">
        <v>500041.0</v>
      </c>
      <c r="AL70" s="62"/>
      <c r="AM70" s="62"/>
      <c r="AN70" s="62"/>
      <c r="AO70" s="62"/>
      <c r="AP70" s="62"/>
      <c r="AQ70" s="62"/>
      <c r="AR70" s="62"/>
      <c r="AS70" s="62"/>
      <c r="AT70" s="60">
        <v>1300.0</v>
      </c>
      <c r="AU70" s="62"/>
      <c r="AV70" s="62"/>
      <c r="AW70" s="57">
        <v>4111.0</v>
      </c>
      <c r="AX70" s="62"/>
      <c r="AY70" s="62"/>
      <c r="AZ70" s="62"/>
      <c r="BA70" s="62"/>
      <c r="BB70" s="62"/>
      <c r="BC70" s="62"/>
      <c r="BD70" s="62"/>
      <c r="BE70" s="62"/>
      <c r="BF70" s="62"/>
      <c r="BG70" s="62"/>
      <c r="BH70" s="62"/>
      <c r="BI70" s="62"/>
      <c r="BJ70" s="62"/>
      <c r="BK70" s="62"/>
      <c r="BL70" s="62"/>
      <c r="BM70" s="62"/>
      <c r="BN70" s="62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62"/>
      <c r="N71" s="24"/>
      <c r="O71" s="24"/>
      <c r="P71" s="63">
        <f>SUM(P60:P70)</f>
        <v>2047</v>
      </c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62">
        <f>SUM(AE60:AE70)</f>
        <v>44652</v>
      </c>
      <c r="AF71" s="62"/>
      <c r="AH71" s="63">
        <f>SUM(AH60:AH70)</f>
        <v>3795</v>
      </c>
      <c r="AI71" s="62"/>
      <c r="AJ71" s="62"/>
      <c r="AK71" s="62"/>
      <c r="AL71" s="62"/>
      <c r="AM71" s="62"/>
      <c r="AN71" s="62"/>
      <c r="AO71" s="62"/>
      <c r="AP71" s="62"/>
      <c r="AQ71" s="62"/>
      <c r="AR71" s="62"/>
      <c r="AS71" s="62"/>
      <c r="AT71" s="62"/>
      <c r="AU71" s="62"/>
      <c r="AV71" s="62"/>
      <c r="AW71" s="62">
        <f>SUM(AW60:AW70)</f>
        <v>48447</v>
      </c>
      <c r="AX71" s="62"/>
      <c r="AY71" s="62"/>
      <c r="AZ71" s="62"/>
      <c r="BA71" s="62"/>
      <c r="BB71" s="62"/>
      <c r="BC71" s="62"/>
      <c r="BD71" s="62"/>
      <c r="BE71" s="62"/>
      <c r="BF71" s="62"/>
      <c r="BG71" s="62"/>
      <c r="BH71" s="62"/>
      <c r="BI71" s="62"/>
      <c r="BJ71" s="62"/>
      <c r="BK71" s="62"/>
      <c r="BL71" s="62"/>
      <c r="BM71" s="62"/>
      <c r="BN71" s="62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62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  <c r="AP72" s="62"/>
      <c r="AQ72" s="62"/>
      <c r="AR72" s="62"/>
      <c r="AS72" s="62"/>
      <c r="AT72" s="62"/>
      <c r="AU72" s="62"/>
      <c r="AV72" s="62"/>
      <c r="AW72" s="62"/>
      <c r="AX72" s="62"/>
      <c r="AY72" s="62"/>
      <c r="AZ72" s="62"/>
      <c r="BA72" s="62"/>
      <c r="BB72" s="62"/>
      <c r="BC72" s="62"/>
      <c r="BD72" s="62"/>
      <c r="BE72" s="62"/>
      <c r="BF72" s="62"/>
      <c r="BG72" s="62"/>
      <c r="BH72" s="62"/>
      <c r="BI72" s="62"/>
      <c r="BJ72" s="62"/>
      <c r="BK72" s="62"/>
      <c r="BL72" s="62"/>
      <c r="BM72" s="62"/>
      <c r="BN72" s="62"/>
    </row>
    <row r="73">
      <c r="A73" s="66" t="s">
        <v>0</v>
      </c>
      <c r="B73" s="66" t="s">
        <v>1</v>
      </c>
      <c r="C73" s="66" t="s">
        <v>2</v>
      </c>
      <c r="D73" s="66" t="s">
        <v>3</v>
      </c>
      <c r="E73" s="66" t="s">
        <v>4</v>
      </c>
      <c r="F73" s="66" t="s">
        <v>5</v>
      </c>
      <c r="G73" s="66" t="s">
        <v>6</v>
      </c>
      <c r="H73" s="66" t="s">
        <v>7</v>
      </c>
      <c r="I73" s="66" t="s">
        <v>8</v>
      </c>
      <c r="J73" s="66" t="s">
        <v>9</v>
      </c>
      <c r="K73" s="67" t="s">
        <v>10</v>
      </c>
      <c r="L73" s="67" t="s">
        <v>11</v>
      </c>
      <c r="M73" s="68" t="s">
        <v>12</v>
      </c>
      <c r="N73" s="24"/>
      <c r="O73" s="24"/>
      <c r="P73" s="33" t="s">
        <v>33</v>
      </c>
      <c r="S73" s="34" t="s">
        <v>0</v>
      </c>
      <c r="T73" s="34" t="s">
        <v>1</v>
      </c>
      <c r="U73" s="34" t="s">
        <v>2</v>
      </c>
      <c r="V73" s="34" t="s">
        <v>3</v>
      </c>
      <c r="W73" s="34" t="s">
        <v>4</v>
      </c>
      <c r="X73" s="34" t="s">
        <v>5</v>
      </c>
      <c r="Y73" s="34" t="s">
        <v>6</v>
      </c>
      <c r="Z73" s="34" t="s">
        <v>7</v>
      </c>
      <c r="AA73" s="34" t="s">
        <v>8</v>
      </c>
      <c r="AB73" s="34" t="s">
        <v>9</v>
      </c>
      <c r="AC73" s="34" t="s">
        <v>10</v>
      </c>
      <c r="AD73" s="34" t="s">
        <v>11</v>
      </c>
      <c r="AE73" s="35" t="s">
        <v>12</v>
      </c>
      <c r="AH73" s="33" t="s">
        <v>33</v>
      </c>
      <c r="AI73" s="62"/>
      <c r="AJ73" s="83" t="s">
        <v>37</v>
      </c>
      <c r="AK73" s="34" t="s">
        <v>0</v>
      </c>
      <c r="AL73" s="84"/>
      <c r="AM73" s="84"/>
      <c r="AN73" s="84"/>
      <c r="AO73" s="84"/>
      <c r="AP73" s="84"/>
      <c r="AQ73" s="84"/>
      <c r="AR73" s="84"/>
      <c r="AS73" s="84"/>
      <c r="AT73" s="34" t="s">
        <v>9</v>
      </c>
      <c r="AU73" s="34" t="s">
        <v>10</v>
      </c>
      <c r="AV73" s="34" t="s">
        <v>11</v>
      </c>
      <c r="AW73" s="35" t="s">
        <v>12</v>
      </c>
      <c r="AX73" s="62"/>
      <c r="AY73" s="62"/>
      <c r="AZ73" s="62"/>
      <c r="BA73" s="83" t="s">
        <v>37</v>
      </c>
      <c r="BB73" s="34" t="s">
        <v>0</v>
      </c>
      <c r="BC73" s="34" t="s">
        <v>9</v>
      </c>
      <c r="BD73" s="84"/>
      <c r="BE73" s="84"/>
      <c r="BF73" s="84"/>
      <c r="BG73" s="84"/>
      <c r="BH73" s="84"/>
      <c r="BI73" s="84"/>
      <c r="BJ73" s="84"/>
      <c r="BK73" s="34" t="s">
        <v>9</v>
      </c>
      <c r="BL73" s="34" t="s">
        <v>10</v>
      </c>
      <c r="BM73" s="34" t="s">
        <v>11</v>
      </c>
      <c r="BN73" s="35" t="s">
        <v>12</v>
      </c>
    </row>
    <row r="74">
      <c r="A74" s="7">
        <v>127607.0</v>
      </c>
      <c r="B74" s="7">
        <v>10.0</v>
      </c>
      <c r="C74" s="7">
        <v>31.0</v>
      </c>
      <c r="D74" s="7">
        <v>0.03</v>
      </c>
      <c r="E74" s="7">
        <v>0.5</v>
      </c>
      <c r="F74" s="7" t="s">
        <v>14</v>
      </c>
      <c r="G74" s="7" t="s">
        <v>14</v>
      </c>
      <c r="H74" s="7">
        <v>2048.0</v>
      </c>
      <c r="I74" s="7">
        <v>200.0</v>
      </c>
      <c r="J74" s="7">
        <v>800.0</v>
      </c>
      <c r="K74" s="37">
        <v>256.0</v>
      </c>
      <c r="L74" s="38">
        <v>8192.0</v>
      </c>
      <c r="M74" s="39">
        <v>4011.0</v>
      </c>
      <c r="N74" s="24"/>
      <c r="O74" s="24"/>
      <c r="P74" s="40">
        <f t="shared" ref="P74:P84" si="23">AE74-M74</f>
        <v>-397</v>
      </c>
      <c r="Q74" s="24"/>
      <c r="R74" s="85"/>
      <c r="S74" s="69">
        <v>127607.0</v>
      </c>
      <c r="T74" s="42">
        <v>10.0</v>
      </c>
      <c r="U74" s="42">
        <v>31.0</v>
      </c>
      <c r="V74" s="42">
        <v>0.03</v>
      </c>
      <c r="W74" s="42">
        <v>0.5</v>
      </c>
      <c r="X74" s="42" t="s">
        <v>14</v>
      </c>
      <c r="Y74" s="42" t="s">
        <v>14</v>
      </c>
      <c r="Z74" s="42">
        <v>2048.0</v>
      </c>
      <c r="AA74" s="42">
        <v>200.0</v>
      </c>
      <c r="AB74" s="42">
        <v>800.0</v>
      </c>
      <c r="AC74" s="42">
        <v>256.0</v>
      </c>
      <c r="AD74" s="43">
        <v>8192.0</v>
      </c>
      <c r="AE74" s="44">
        <v>3614.0</v>
      </c>
      <c r="AF74" s="62"/>
      <c r="AG74" s="62"/>
      <c r="AH74" s="40">
        <f t="shared" ref="AH74:AH84" si="24">AW74-AE74</f>
        <v>40</v>
      </c>
      <c r="AI74" s="62"/>
      <c r="AK74" s="70">
        <v>127607.0</v>
      </c>
      <c r="AL74" s="84">
        <v>800.0</v>
      </c>
      <c r="AM74" s="86">
        <v>3654.0</v>
      </c>
      <c r="AN74" s="84"/>
      <c r="AO74" s="84"/>
      <c r="AP74" s="84"/>
      <c r="AQ74" s="84"/>
      <c r="AR74" s="84"/>
      <c r="AS74" s="84"/>
      <c r="AT74" s="55">
        <v>800.0</v>
      </c>
      <c r="AU74" s="55">
        <v>256.0</v>
      </c>
      <c r="AV74" s="56">
        <v>8192.0</v>
      </c>
      <c r="AW74" s="87">
        <v>3654.0</v>
      </c>
      <c r="AX74" s="62"/>
      <c r="AY74" s="62">
        <f t="shared" ref="AY74:AY84" si="25">BN74-AE74</f>
        <v>765</v>
      </c>
      <c r="AZ74" s="62"/>
      <c r="BB74" s="70">
        <v>127607.0</v>
      </c>
      <c r="BC74" s="84">
        <v>800.0</v>
      </c>
      <c r="BD74" s="86">
        <v>3654.0</v>
      </c>
      <c r="BE74" s="84"/>
      <c r="BF74" s="84"/>
      <c r="BG74" s="84"/>
      <c r="BH74" s="84"/>
      <c r="BI74" s="84"/>
      <c r="BJ74" s="84"/>
      <c r="BK74" s="55">
        <v>800.0</v>
      </c>
      <c r="BL74" s="55">
        <v>256.0</v>
      </c>
      <c r="BM74" s="56">
        <v>8192.0</v>
      </c>
      <c r="BN74" s="87">
        <v>4379.0</v>
      </c>
    </row>
    <row r="75">
      <c r="A75" s="7">
        <v>127607.0</v>
      </c>
      <c r="B75" s="7">
        <v>10.0</v>
      </c>
      <c r="C75" s="7">
        <v>31.0</v>
      </c>
      <c r="D75" s="7">
        <v>0.03</v>
      </c>
      <c r="E75" s="7">
        <v>0.5</v>
      </c>
      <c r="F75" s="7" t="s">
        <v>14</v>
      </c>
      <c r="G75" s="7" t="s">
        <v>14</v>
      </c>
      <c r="H75" s="7">
        <v>2048.0</v>
      </c>
      <c r="I75" s="7">
        <v>200.0</v>
      </c>
      <c r="J75" s="7">
        <v>850.0</v>
      </c>
      <c r="K75" s="37">
        <f t="shared" ref="K75:K76" si="26">K74</f>
        <v>256</v>
      </c>
      <c r="L75" s="38">
        <v>8192.0</v>
      </c>
      <c r="M75" s="39">
        <v>4677.0</v>
      </c>
      <c r="N75" s="24"/>
      <c r="O75" s="24"/>
      <c r="P75" s="40">
        <f t="shared" si="23"/>
        <v>-417</v>
      </c>
      <c r="Q75" s="24"/>
      <c r="R75" s="85"/>
      <c r="S75" s="51">
        <v>127607.0</v>
      </c>
      <c r="T75" s="51">
        <v>10.0</v>
      </c>
      <c r="U75" s="51">
        <v>31.0</v>
      </c>
      <c r="V75" s="51">
        <v>0.03</v>
      </c>
      <c r="W75" s="51">
        <v>0.5</v>
      </c>
      <c r="X75" s="51" t="s">
        <v>14</v>
      </c>
      <c r="Y75" s="51" t="s">
        <v>14</v>
      </c>
      <c r="Z75" s="51">
        <v>2048.0</v>
      </c>
      <c r="AA75" s="51">
        <v>200.0</v>
      </c>
      <c r="AB75" s="51">
        <v>850.0</v>
      </c>
      <c r="AC75" s="51">
        <v>256.0</v>
      </c>
      <c r="AD75" s="52">
        <v>8192.0</v>
      </c>
      <c r="AE75" s="53">
        <v>4260.0</v>
      </c>
      <c r="AF75" s="62"/>
      <c r="AG75" s="62"/>
      <c r="AH75" s="40">
        <f t="shared" si="24"/>
        <v>-378</v>
      </c>
      <c r="AI75" s="62"/>
      <c r="AK75" s="70">
        <v>127607.0</v>
      </c>
      <c r="AL75" s="84">
        <v>850.0</v>
      </c>
      <c r="AM75" s="86">
        <v>3882.0</v>
      </c>
      <c r="AN75" s="84"/>
      <c r="AO75" s="84"/>
      <c r="AP75" s="84"/>
      <c r="AQ75" s="84"/>
      <c r="AR75" s="84"/>
      <c r="AS75" s="84"/>
      <c r="AT75" s="55">
        <v>850.0</v>
      </c>
      <c r="AU75" s="55">
        <v>256.0</v>
      </c>
      <c r="AV75" s="56">
        <v>8192.0</v>
      </c>
      <c r="AW75" s="87">
        <v>3882.0</v>
      </c>
      <c r="AX75" s="62"/>
      <c r="AY75" s="62">
        <f t="shared" si="25"/>
        <v>-30</v>
      </c>
      <c r="AZ75" s="62"/>
      <c r="BB75" s="70">
        <v>127607.0</v>
      </c>
      <c r="BC75" s="84">
        <v>850.0</v>
      </c>
      <c r="BD75" s="86">
        <v>3882.0</v>
      </c>
      <c r="BE75" s="84"/>
      <c r="BF75" s="84"/>
      <c r="BG75" s="84"/>
      <c r="BH75" s="84"/>
      <c r="BI75" s="84"/>
      <c r="BJ75" s="84"/>
      <c r="BK75" s="55">
        <v>850.0</v>
      </c>
      <c r="BL75" s="55">
        <v>256.0</v>
      </c>
      <c r="BM75" s="56">
        <v>8192.0</v>
      </c>
      <c r="BN75" s="87">
        <v>4230.0</v>
      </c>
    </row>
    <row r="76">
      <c r="A76" s="7">
        <v>127607.0</v>
      </c>
      <c r="B76" s="7">
        <v>10.0</v>
      </c>
      <c r="C76" s="7">
        <v>31.0</v>
      </c>
      <c r="D76" s="7">
        <v>0.03</v>
      </c>
      <c r="E76" s="7">
        <v>0.5</v>
      </c>
      <c r="F76" s="7" t="s">
        <v>14</v>
      </c>
      <c r="G76" s="7" t="s">
        <v>14</v>
      </c>
      <c r="H76" s="7">
        <v>2048.0</v>
      </c>
      <c r="I76" s="7">
        <v>200.0</v>
      </c>
      <c r="J76" s="7">
        <v>900.0</v>
      </c>
      <c r="K76" s="37">
        <f t="shared" si="26"/>
        <v>256</v>
      </c>
      <c r="L76" s="38">
        <v>8192.0</v>
      </c>
      <c r="M76" s="39">
        <v>5283.0</v>
      </c>
      <c r="N76" s="24"/>
      <c r="O76" s="24"/>
      <c r="P76" s="40">
        <f t="shared" si="23"/>
        <v>-825</v>
      </c>
      <c r="Q76" s="24"/>
      <c r="R76" s="85"/>
      <c r="S76" s="51">
        <v>127607.0</v>
      </c>
      <c r="T76" s="51">
        <v>10.0</v>
      </c>
      <c r="U76" s="51">
        <v>31.0</v>
      </c>
      <c r="V76" s="51">
        <v>0.03</v>
      </c>
      <c r="W76" s="51">
        <v>0.5</v>
      </c>
      <c r="X76" s="51" t="s">
        <v>14</v>
      </c>
      <c r="Y76" s="51" t="s">
        <v>14</v>
      </c>
      <c r="Z76" s="51">
        <v>2048.0</v>
      </c>
      <c r="AA76" s="51">
        <v>200.0</v>
      </c>
      <c r="AB76" s="51">
        <v>900.0</v>
      </c>
      <c r="AC76" s="51">
        <v>256.0</v>
      </c>
      <c r="AD76" s="52">
        <v>8192.0</v>
      </c>
      <c r="AE76" s="53">
        <v>4458.0</v>
      </c>
      <c r="AF76" s="62"/>
      <c r="AG76" s="62"/>
      <c r="AH76" s="40">
        <f t="shared" si="24"/>
        <v>-268</v>
      </c>
      <c r="AI76" s="62"/>
      <c r="AK76" s="70">
        <v>127607.0</v>
      </c>
      <c r="AL76" s="84">
        <v>900.0</v>
      </c>
      <c r="AM76" s="84" t="s">
        <v>39</v>
      </c>
      <c r="AN76" s="84"/>
      <c r="AO76" s="84"/>
      <c r="AP76" s="84"/>
      <c r="AQ76" s="84"/>
      <c r="AR76" s="84"/>
      <c r="AS76" s="84"/>
      <c r="AT76" s="55">
        <v>900.0</v>
      </c>
      <c r="AU76" s="55">
        <v>256.0</v>
      </c>
      <c r="AV76" s="56">
        <v>8192.0</v>
      </c>
      <c r="AW76" s="87">
        <v>4190.0</v>
      </c>
      <c r="AX76" s="62"/>
      <c r="AY76" s="62">
        <f t="shared" si="25"/>
        <v>0</v>
      </c>
      <c r="AZ76" s="62"/>
      <c r="BB76" s="70">
        <v>127607.0</v>
      </c>
      <c r="BC76" s="84">
        <v>900.0</v>
      </c>
      <c r="BD76" s="84" t="s">
        <v>39</v>
      </c>
      <c r="BE76" s="84"/>
      <c r="BF76" s="84"/>
      <c r="BG76" s="84"/>
      <c r="BH76" s="84"/>
      <c r="BI76" s="84"/>
      <c r="BJ76" s="84"/>
      <c r="BK76" s="55">
        <v>900.0</v>
      </c>
      <c r="BL76" s="55">
        <v>256.0</v>
      </c>
      <c r="BM76" s="56">
        <v>8192.0</v>
      </c>
      <c r="BN76" s="87">
        <v>4458.0</v>
      </c>
    </row>
    <row r="77">
      <c r="A77" s="7">
        <v>127607.0</v>
      </c>
      <c r="B77" s="7">
        <v>10.0</v>
      </c>
      <c r="C77" s="7">
        <v>31.0</v>
      </c>
      <c r="D77" s="7">
        <v>0.03</v>
      </c>
      <c r="E77" s="7">
        <v>0.5</v>
      </c>
      <c r="F77" s="7" t="s">
        <v>14</v>
      </c>
      <c r="G77" s="7" t="s">
        <v>14</v>
      </c>
      <c r="H77" s="7">
        <v>2048.0</v>
      </c>
      <c r="I77" s="7">
        <v>200.0</v>
      </c>
      <c r="J77" s="7">
        <v>950.0</v>
      </c>
      <c r="K77" s="37">
        <v>256.0</v>
      </c>
      <c r="L77" s="38">
        <v>8192.0</v>
      </c>
      <c r="M77" s="39">
        <v>5084.0</v>
      </c>
      <c r="N77" s="24"/>
      <c r="O77" s="24"/>
      <c r="P77" s="40">
        <f t="shared" si="23"/>
        <v>-775</v>
      </c>
      <c r="Q77" s="24"/>
      <c r="R77" s="85"/>
      <c r="S77" s="51">
        <v>127607.0</v>
      </c>
      <c r="T77" s="51">
        <v>10.0</v>
      </c>
      <c r="U77" s="51">
        <v>31.0</v>
      </c>
      <c r="V77" s="51">
        <v>0.03</v>
      </c>
      <c r="W77" s="51">
        <v>0.5</v>
      </c>
      <c r="X77" s="51" t="s">
        <v>14</v>
      </c>
      <c r="Y77" s="51" t="s">
        <v>14</v>
      </c>
      <c r="Z77" s="51">
        <v>2048.0</v>
      </c>
      <c r="AA77" s="51">
        <v>200.0</v>
      </c>
      <c r="AB77" s="51">
        <v>950.0</v>
      </c>
      <c r="AC77" s="51">
        <v>256.0</v>
      </c>
      <c r="AD77" s="52">
        <v>8192.0</v>
      </c>
      <c r="AE77" s="53">
        <v>4309.0</v>
      </c>
      <c r="AF77" s="62"/>
      <c r="AG77" s="62"/>
      <c r="AH77" s="40">
        <f t="shared" si="24"/>
        <v>149</v>
      </c>
      <c r="AI77" s="62"/>
      <c r="AK77" s="70">
        <v>127607.0</v>
      </c>
      <c r="AL77" s="84">
        <v>950.0</v>
      </c>
      <c r="AM77" s="86">
        <v>4458.0</v>
      </c>
      <c r="AN77" s="84"/>
      <c r="AO77" s="84"/>
      <c r="AP77" s="84"/>
      <c r="AQ77" s="84"/>
      <c r="AR77" s="84"/>
      <c r="AS77" s="84"/>
      <c r="AT77" s="55">
        <v>950.0</v>
      </c>
      <c r="AU77" s="55">
        <v>256.0</v>
      </c>
      <c r="AV77" s="56">
        <v>8192.0</v>
      </c>
      <c r="AW77" s="87">
        <v>4458.0</v>
      </c>
      <c r="AX77" s="62"/>
      <c r="AY77" s="62">
        <f t="shared" si="25"/>
        <v>368</v>
      </c>
      <c r="AZ77" s="62"/>
      <c r="BB77" s="70">
        <v>127607.0</v>
      </c>
      <c r="BC77" s="84">
        <v>950.0</v>
      </c>
      <c r="BD77" s="86">
        <v>4458.0</v>
      </c>
      <c r="BE77" s="84"/>
      <c r="BF77" s="84"/>
      <c r="BG77" s="84"/>
      <c r="BH77" s="84"/>
      <c r="BI77" s="84"/>
      <c r="BJ77" s="84"/>
      <c r="BK77" s="55">
        <v>950.0</v>
      </c>
      <c r="BL77" s="55">
        <v>256.0</v>
      </c>
      <c r="BM77" s="56">
        <v>8192.0</v>
      </c>
      <c r="BN77" s="87">
        <v>4677.0</v>
      </c>
    </row>
    <row r="78">
      <c r="A78" s="7">
        <v>127607.0</v>
      </c>
      <c r="B78" s="7">
        <v>10.0</v>
      </c>
      <c r="C78" s="7">
        <v>31.0</v>
      </c>
      <c r="D78" s="7">
        <v>0.03</v>
      </c>
      <c r="E78" s="7">
        <v>0.5</v>
      </c>
      <c r="F78" s="7" t="s">
        <v>14</v>
      </c>
      <c r="G78" s="7" t="s">
        <v>14</v>
      </c>
      <c r="H78" s="7">
        <v>2048.0</v>
      </c>
      <c r="I78" s="7">
        <v>200.0</v>
      </c>
      <c r="J78" s="7">
        <v>1000.0</v>
      </c>
      <c r="K78" s="37">
        <f t="shared" ref="K78:K84" si="27">K77</f>
        <v>256</v>
      </c>
      <c r="L78" s="38">
        <v>8192.0</v>
      </c>
      <c r="M78" s="39">
        <v>4985.0</v>
      </c>
      <c r="N78" s="24"/>
      <c r="O78" s="24"/>
      <c r="P78" s="40">
        <f t="shared" si="23"/>
        <v>-407</v>
      </c>
      <c r="Q78" s="24"/>
      <c r="R78" s="85"/>
      <c r="S78" s="51">
        <v>127607.0</v>
      </c>
      <c r="T78" s="51">
        <v>10.0</v>
      </c>
      <c r="U78" s="51">
        <v>31.0</v>
      </c>
      <c r="V78" s="51">
        <v>0.03</v>
      </c>
      <c r="W78" s="51">
        <v>0.5</v>
      </c>
      <c r="X78" s="51" t="s">
        <v>14</v>
      </c>
      <c r="Y78" s="51" t="s">
        <v>14</v>
      </c>
      <c r="Z78" s="51">
        <v>2048.0</v>
      </c>
      <c r="AA78" s="51">
        <v>200.0</v>
      </c>
      <c r="AB78" s="51">
        <v>1000.0</v>
      </c>
      <c r="AC78" s="51">
        <v>256.0</v>
      </c>
      <c r="AD78" s="52">
        <v>8192.0</v>
      </c>
      <c r="AE78" s="53">
        <v>4578.0</v>
      </c>
      <c r="AF78" s="62"/>
      <c r="AG78" s="62"/>
      <c r="AH78" s="40">
        <f t="shared" si="24"/>
        <v>-328</v>
      </c>
      <c r="AI78" s="62"/>
      <c r="AK78" s="70">
        <v>127607.0</v>
      </c>
      <c r="AL78" s="84">
        <v>1000.0</v>
      </c>
      <c r="AM78" s="84" t="s">
        <v>40</v>
      </c>
      <c r="AN78" s="84"/>
      <c r="AO78" s="84"/>
      <c r="AP78" s="84"/>
      <c r="AQ78" s="84"/>
      <c r="AR78" s="84"/>
      <c r="AS78" s="84"/>
      <c r="AT78" s="55">
        <v>1000.0</v>
      </c>
      <c r="AU78" s="55">
        <v>256.0</v>
      </c>
      <c r="AV78" s="56">
        <v>8192.0</v>
      </c>
      <c r="AW78" s="87">
        <v>4250.0</v>
      </c>
      <c r="AX78" s="62"/>
      <c r="AY78" s="62">
        <f t="shared" si="25"/>
        <v>-20</v>
      </c>
      <c r="AZ78" s="62"/>
      <c r="BB78" s="70">
        <v>127607.0</v>
      </c>
      <c r="BC78" s="84">
        <v>1000.0</v>
      </c>
      <c r="BD78" s="84" t="s">
        <v>40</v>
      </c>
      <c r="BE78" s="84"/>
      <c r="BF78" s="84"/>
      <c r="BG78" s="84"/>
      <c r="BH78" s="84"/>
      <c r="BI78" s="84"/>
      <c r="BJ78" s="84"/>
      <c r="BK78" s="55">
        <v>1000.0</v>
      </c>
      <c r="BL78" s="55">
        <v>256.0</v>
      </c>
      <c r="BM78" s="56">
        <v>8192.0</v>
      </c>
      <c r="BN78" s="87">
        <v>4558.0</v>
      </c>
    </row>
    <row r="79">
      <c r="A79" s="7">
        <v>127607.0</v>
      </c>
      <c r="B79" s="7">
        <v>10.0</v>
      </c>
      <c r="C79" s="7">
        <v>31.0</v>
      </c>
      <c r="D79" s="7">
        <v>0.03</v>
      </c>
      <c r="E79" s="7">
        <v>0.5</v>
      </c>
      <c r="F79" s="7" t="s">
        <v>14</v>
      </c>
      <c r="G79" s="7" t="s">
        <v>14</v>
      </c>
      <c r="H79" s="7">
        <v>2048.0</v>
      </c>
      <c r="I79" s="7">
        <v>200.0</v>
      </c>
      <c r="J79" s="7">
        <v>1050.0</v>
      </c>
      <c r="K79" s="37">
        <f t="shared" si="27"/>
        <v>256</v>
      </c>
      <c r="L79" s="38">
        <v>8192.0</v>
      </c>
      <c r="M79" s="39">
        <v>4846.0</v>
      </c>
      <c r="N79" s="24"/>
      <c r="O79" s="24"/>
      <c r="P79" s="40">
        <f t="shared" si="23"/>
        <v>-427</v>
      </c>
      <c r="Q79" s="24"/>
      <c r="R79" s="85"/>
      <c r="S79" s="51">
        <v>127607.0</v>
      </c>
      <c r="T79" s="51">
        <v>10.0</v>
      </c>
      <c r="U79" s="51">
        <v>31.0</v>
      </c>
      <c r="V79" s="51">
        <v>0.03</v>
      </c>
      <c r="W79" s="51">
        <v>0.5</v>
      </c>
      <c r="X79" s="51" t="s">
        <v>14</v>
      </c>
      <c r="Y79" s="51" t="s">
        <v>14</v>
      </c>
      <c r="Z79" s="51">
        <v>2048.0</v>
      </c>
      <c r="AA79" s="51">
        <v>200.0</v>
      </c>
      <c r="AB79" s="51">
        <v>1050.0</v>
      </c>
      <c r="AC79" s="51">
        <v>256.0</v>
      </c>
      <c r="AD79" s="52">
        <v>8192.0</v>
      </c>
      <c r="AE79" s="53">
        <v>4419.0</v>
      </c>
      <c r="AF79" s="62"/>
      <c r="AG79" s="62"/>
      <c r="AH79" s="40">
        <f t="shared" si="24"/>
        <v>-288</v>
      </c>
      <c r="AI79" s="62"/>
      <c r="AK79" s="70">
        <v>127607.0</v>
      </c>
      <c r="AL79" s="84">
        <v>1050.0</v>
      </c>
      <c r="AM79" s="86">
        <v>4131.0</v>
      </c>
      <c r="AN79" s="84"/>
      <c r="AO79" s="84"/>
      <c r="AP79" s="84"/>
      <c r="AQ79" s="84"/>
      <c r="AR79" s="84"/>
      <c r="AS79" s="84"/>
      <c r="AT79" s="55">
        <v>1050.0</v>
      </c>
      <c r="AU79" s="55">
        <v>256.0</v>
      </c>
      <c r="AV79" s="56">
        <v>8192.0</v>
      </c>
      <c r="AW79" s="87">
        <v>4131.0</v>
      </c>
      <c r="AX79" s="62"/>
      <c r="AY79" s="62">
        <f t="shared" si="25"/>
        <v>29</v>
      </c>
      <c r="AZ79" s="62"/>
      <c r="BB79" s="70">
        <v>127607.0</v>
      </c>
      <c r="BC79" s="84">
        <v>1050.0</v>
      </c>
      <c r="BD79" s="86">
        <v>4131.0</v>
      </c>
      <c r="BE79" s="84"/>
      <c r="BF79" s="84"/>
      <c r="BG79" s="84"/>
      <c r="BH79" s="84"/>
      <c r="BI79" s="84"/>
      <c r="BJ79" s="84"/>
      <c r="BK79" s="55">
        <v>1050.0</v>
      </c>
      <c r="BL79" s="55">
        <v>256.0</v>
      </c>
      <c r="BM79" s="56">
        <v>8192.0</v>
      </c>
      <c r="BN79" s="87">
        <v>4448.0</v>
      </c>
    </row>
    <row r="80">
      <c r="A80" s="7">
        <v>127607.0</v>
      </c>
      <c r="B80" s="7">
        <v>10.0</v>
      </c>
      <c r="C80" s="7">
        <v>31.0</v>
      </c>
      <c r="D80" s="7">
        <v>0.03</v>
      </c>
      <c r="E80" s="7">
        <v>0.5</v>
      </c>
      <c r="F80" s="7" t="s">
        <v>14</v>
      </c>
      <c r="G80" s="7" t="s">
        <v>14</v>
      </c>
      <c r="H80" s="7">
        <v>2048.0</v>
      </c>
      <c r="I80" s="7">
        <v>200.0</v>
      </c>
      <c r="J80" s="7">
        <v>1100.0</v>
      </c>
      <c r="K80" s="37">
        <f t="shared" si="27"/>
        <v>256</v>
      </c>
      <c r="L80" s="38">
        <v>8192.0</v>
      </c>
      <c r="M80" s="39">
        <v>4717.0</v>
      </c>
      <c r="N80" s="24"/>
      <c r="O80" s="24"/>
      <c r="P80" s="40">
        <f t="shared" si="23"/>
        <v>-50</v>
      </c>
      <c r="Q80" s="24"/>
      <c r="R80" s="85"/>
      <c r="S80" s="51">
        <v>127607.0</v>
      </c>
      <c r="T80" s="51">
        <v>10.0</v>
      </c>
      <c r="U80" s="51">
        <v>31.0</v>
      </c>
      <c r="V80" s="51">
        <v>0.03</v>
      </c>
      <c r="W80" s="51">
        <v>0.5</v>
      </c>
      <c r="X80" s="51" t="s">
        <v>14</v>
      </c>
      <c r="Y80" s="51" t="s">
        <v>14</v>
      </c>
      <c r="Z80" s="51">
        <v>2048.0</v>
      </c>
      <c r="AA80" s="51">
        <v>200.0</v>
      </c>
      <c r="AB80" s="51">
        <v>1100.0</v>
      </c>
      <c r="AC80" s="51">
        <v>256.0</v>
      </c>
      <c r="AD80" s="52">
        <v>8192.0</v>
      </c>
      <c r="AE80" s="53">
        <v>4667.0</v>
      </c>
      <c r="AF80" s="62"/>
      <c r="AG80" s="62"/>
      <c r="AH80" s="40">
        <f t="shared" si="24"/>
        <v>-665</v>
      </c>
      <c r="AI80" s="62"/>
      <c r="AK80" s="70">
        <v>127607.0</v>
      </c>
      <c r="AL80" s="84">
        <v>1100.0</v>
      </c>
      <c r="AM80" s="86">
        <v>4002.0</v>
      </c>
      <c r="AN80" s="84"/>
      <c r="AO80" s="84"/>
      <c r="AP80" s="84"/>
      <c r="AQ80" s="84"/>
      <c r="AR80" s="84"/>
      <c r="AS80" s="84"/>
      <c r="AT80" s="55">
        <v>1100.0</v>
      </c>
      <c r="AU80" s="55">
        <v>256.0</v>
      </c>
      <c r="AV80" s="56">
        <v>8192.0</v>
      </c>
      <c r="AW80" s="87">
        <v>4002.0</v>
      </c>
      <c r="AX80" s="62"/>
      <c r="AY80" s="62">
        <f t="shared" si="25"/>
        <v>-397</v>
      </c>
      <c r="AZ80" s="62"/>
      <c r="BB80" s="70">
        <v>127607.0</v>
      </c>
      <c r="BC80" s="84">
        <v>1100.0</v>
      </c>
      <c r="BD80" s="86">
        <v>4002.0</v>
      </c>
      <c r="BE80" s="84"/>
      <c r="BF80" s="84"/>
      <c r="BG80" s="84"/>
      <c r="BH80" s="84"/>
      <c r="BI80" s="84"/>
      <c r="BJ80" s="84"/>
      <c r="BK80" s="55">
        <v>1100.0</v>
      </c>
      <c r="BL80" s="55">
        <v>256.0</v>
      </c>
      <c r="BM80" s="56">
        <v>8192.0</v>
      </c>
      <c r="BN80" s="87">
        <v>4270.0</v>
      </c>
    </row>
    <row r="81">
      <c r="A81" s="7">
        <v>127607.0</v>
      </c>
      <c r="B81" s="7">
        <v>10.0</v>
      </c>
      <c r="C81" s="7">
        <v>31.0</v>
      </c>
      <c r="D81" s="7">
        <v>0.03</v>
      </c>
      <c r="E81" s="7">
        <v>0.5</v>
      </c>
      <c r="F81" s="7" t="s">
        <v>14</v>
      </c>
      <c r="G81" s="7" t="s">
        <v>14</v>
      </c>
      <c r="H81" s="7">
        <v>2048.0</v>
      </c>
      <c r="I81" s="7">
        <v>200.0</v>
      </c>
      <c r="J81" s="7">
        <v>1150.0</v>
      </c>
      <c r="K81" s="37">
        <f t="shared" si="27"/>
        <v>256</v>
      </c>
      <c r="L81" s="37">
        <f t="shared" ref="L81:L84" si="28">L80</f>
        <v>8192</v>
      </c>
      <c r="M81" s="39">
        <v>4607.0</v>
      </c>
      <c r="N81" s="24"/>
      <c r="O81" s="24"/>
      <c r="P81" s="40">
        <f t="shared" si="23"/>
        <v>-79</v>
      </c>
      <c r="Q81" s="24"/>
      <c r="R81" s="85"/>
      <c r="S81" s="51">
        <v>127607.0</v>
      </c>
      <c r="T81" s="51">
        <v>10.0</v>
      </c>
      <c r="U81" s="51">
        <v>31.0</v>
      </c>
      <c r="V81" s="51">
        <v>0.03</v>
      </c>
      <c r="W81" s="51">
        <v>0.5</v>
      </c>
      <c r="X81" s="51" t="s">
        <v>14</v>
      </c>
      <c r="Y81" s="51" t="s">
        <v>14</v>
      </c>
      <c r="Z81" s="51">
        <v>2048.0</v>
      </c>
      <c r="AA81" s="51">
        <v>200.0</v>
      </c>
      <c r="AB81" s="51">
        <v>1150.0</v>
      </c>
      <c r="AC81" s="51">
        <v>256.0</v>
      </c>
      <c r="AD81" s="52">
        <v>8192.0</v>
      </c>
      <c r="AE81" s="53">
        <v>4528.0</v>
      </c>
      <c r="AF81" s="62"/>
      <c r="AG81" s="62"/>
      <c r="AH81" s="40">
        <f t="shared" si="24"/>
        <v>-278</v>
      </c>
      <c r="AI81" s="62"/>
      <c r="AK81" s="70">
        <v>127607.0</v>
      </c>
      <c r="AL81" s="84">
        <v>1150.0</v>
      </c>
      <c r="AM81" s="84" t="s">
        <v>40</v>
      </c>
      <c r="AN81" s="84"/>
      <c r="AO81" s="84"/>
      <c r="AP81" s="84"/>
      <c r="AQ81" s="84"/>
      <c r="AR81" s="84"/>
      <c r="AS81" s="84"/>
      <c r="AT81" s="55">
        <v>1150.0</v>
      </c>
      <c r="AU81" s="55">
        <v>256.0</v>
      </c>
      <c r="AV81" s="56">
        <v>8192.0</v>
      </c>
      <c r="AW81" s="87">
        <v>4250.0</v>
      </c>
      <c r="AX81" s="62"/>
      <c r="AY81" s="62">
        <f t="shared" si="25"/>
        <v>-30</v>
      </c>
      <c r="AZ81" s="62"/>
      <c r="BB81" s="70">
        <v>127607.0</v>
      </c>
      <c r="BC81" s="84">
        <v>1150.0</v>
      </c>
      <c r="BD81" s="84" t="s">
        <v>40</v>
      </c>
      <c r="BE81" s="84"/>
      <c r="BF81" s="84"/>
      <c r="BG81" s="84"/>
      <c r="BH81" s="84"/>
      <c r="BI81" s="84"/>
      <c r="BJ81" s="84"/>
      <c r="BK81" s="55">
        <v>1150.0</v>
      </c>
      <c r="BL81" s="55">
        <v>256.0</v>
      </c>
      <c r="BM81" s="56">
        <v>8192.0</v>
      </c>
      <c r="BN81" s="87">
        <v>4498.0</v>
      </c>
    </row>
    <row r="82">
      <c r="A82" s="7">
        <v>127607.0</v>
      </c>
      <c r="B82" s="7">
        <v>10.0</v>
      </c>
      <c r="C82" s="7">
        <v>31.0</v>
      </c>
      <c r="D82" s="7">
        <v>0.03</v>
      </c>
      <c r="E82" s="7">
        <v>0.5</v>
      </c>
      <c r="F82" s="7" t="s">
        <v>14</v>
      </c>
      <c r="G82" s="7" t="s">
        <v>14</v>
      </c>
      <c r="H82" s="7">
        <v>2048.0</v>
      </c>
      <c r="I82" s="7">
        <v>200.0</v>
      </c>
      <c r="J82" s="7">
        <v>1200.0</v>
      </c>
      <c r="K82" s="37">
        <f t="shared" si="27"/>
        <v>256</v>
      </c>
      <c r="L82" s="37">
        <f t="shared" si="28"/>
        <v>8192</v>
      </c>
      <c r="M82" s="39">
        <v>4845.0</v>
      </c>
      <c r="N82" s="24"/>
      <c r="O82" s="24"/>
      <c r="P82" s="40">
        <f t="shared" si="23"/>
        <v>-446</v>
      </c>
      <c r="Q82" s="24"/>
      <c r="R82" s="85"/>
      <c r="S82" s="51">
        <v>127607.0</v>
      </c>
      <c r="T82" s="51">
        <v>10.0</v>
      </c>
      <c r="U82" s="51">
        <v>31.0</v>
      </c>
      <c r="V82" s="51">
        <v>0.03</v>
      </c>
      <c r="W82" s="51">
        <v>0.5</v>
      </c>
      <c r="X82" s="51" t="s">
        <v>14</v>
      </c>
      <c r="Y82" s="51" t="s">
        <v>14</v>
      </c>
      <c r="Z82" s="51">
        <v>2048.0</v>
      </c>
      <c r="AA82" s="51">
        <v>200.0</v>
      </c>
      <c r="AB82" s="51">
        <v>1200.0</v>
      </c>
      <c r="AC82" s="51">
        <v>256.0</v>
      </c>
      <c r="AD82" s="52">
        <v>8192.0</v>
      </c>
      <c r="AE82" s="53">
        <v>4399.0</v>
      </c>
      <c r="AF82" s="62"/>
      <c r="AG82" s="62"/>
      <c r="AH82" s="40">
        <f t="shared" si="24"/>
        <v>-318</v>
      </c>
      <c r="AI82" s="62"/>
      <c r="AK82" s="70">
        <v>127607.0</v>
      </c>
      <c r="AL82" s="34">
        <v>1200.0</v>
      </c>
      <c r="AM82" s="88">
        <v>4081.0</v>
      </c>
      <c r="AN82" s="34"/>
      <c r="AO82" s="34"/>
      <c r="AP82" s="34"/>
      <c r="AQ82" s="34"/>
      <c r="AR82" s="34"/>
      <c r="AS82" s="34"/>
      <c r="AT82" s="55">
        <v>1200.0</v>
      </c>
      <c r="AU82" s="55">
        <v>256.0</v>
      </c>
      <c r="AV82" s="56">
        <v>8192.0</v>
      </c>
      <c r="AW82" s="87">
        <v>4081.0</v>
      </c>
      <c r="AX82" s="62"/>
      <c r="AY82" s="62">
        <f t="shared" si="25"/>
        <v>-30</v>
      </c>
      <c r="AZ82" s="62"/>
      <c r="BB82" s="70">
        <v>127607.0</v>
      </c>
      <c r="BC82" s="34">
        <v>1200.0</v>
      </c>
      <c r="BD82" s="88">
        <v>4081.0</v>
      </c>
      <c r="BE82" s="34"/>
      <c r="BF82" s="34"/>
      <c r="BG82" s="34"/>
      <c r="BH82" s="34"/>
      <c r="BI82" s="34"/>
      <c r="BJ82" s="34"/>
      <c r="BK82" s="55">
        <v>1200.0</v>
      </c>
      <c r="BL82" s="55">
        <v>256.0</v>
      </c>
      <c r="BM82" s="56">
        <v>8192.0</v>
      </c>
      <c r="BN82" s="87">
        <v>4369.0</v>
      </c>
    </row>
    <row r="83">
      <c r="A83" s="7">
        <v>127607.0</v>
      </c>
      <c r="B83" s="7">
        <v>10.0</v>
      </c>
      <c r="C83" s="7">
        <v>31.0</v>
      </c>
      <c r="D83" s="7">
        <v>0.03</v>
      </c>
      <c r="E83" s="7">
        <v>0.5</v>
      </c>
      <c r="F83" s="7" t="s">
        <v>14</v>
      </c>
      <c r="G83" s="7" t="s">
        <v>14</v>
      </c>
      <c r="H83" s="7">
        <v>2048.0</v>
      </c>
      <c r="I83" s="7">
        <v>200.0</v>
      </c>
      <c r="J83" s="7">
        <v>1250.0</v>
      </c>
      <c r="K83" s="37">
        <f t="shared" si="27"/>
        <v>256</v>
      </c>
      <c r="L83" s="37">
        <f t="shared" si="28"/>
        <v>8192</v>
      </c>
      <c r="M83" s="39">
        <v>4697.0</v>
      </c>
      <c r="N83" s="24"/>
      <c r="O83" s="24"/>
      <c r="P83" s="40">
        <f t="shared" si="23"/>
        <v>-487</v>
      </c>
      <c r="R83" s="85"/>
      <c r="S83" s="51">
        <v>127607.0</v>
      </c>
      <c r="T83" s="51">
        <v>10.0</v>
      </c>
      <c r="U83" s="51">
        <v>31.0</v>
      </c>
      <c r="V83" s="51">
        <v>0.03</v>
      </c>
      <c r="W83" s="51">
        <v>0.5</v>
      </c>
      <c r="X83" s="51" t="s">
        <v>14</v>
      </c>
      <c r="Y83" s="51" t="s">
        <v>14</v>
      </c>
      <c r="Z83" s="51">
        <v>2048.0</v>
      </c>
      <c r="AA83" s="51">
        <v>200.0</v>
      </c>
      <c r="AB83" s="51">
        <v>1250.0</v>
      </c>
      <c r="AC83" s="51">
        <v>256.0</v>
      </c>
      <c r="AD83" s="52">
        <v>8192.0</v>
      </c>
      <c r="AE83" s="53">
        <v>4210.0</v>
      </c>
      <c r="AH83" s="40">
        <f t="shared" si="24"/>
        <v>129</v>
      </c>
      <c r="AI83" s="62"/>
      <c r="AK83" s="70">
        <v>127607.0</v>
      </c>
      <c r="AL83" s="34">
        <v>1250.0</v>
      </c>
      <c r="AM83" s="88">
        <v>4339.0</v>
      </c>
      <c r="AN83" s="34"/>
      <c r="AO83" s="34"/>
      <c r="AP83" s="34"/>
      <c r="AQ83" s="34"/>
      <c r="AR83" s="34"/>
      <c r="AS83" s="34"/>
      <c r="AT83" s="55">
        <v>1250.0</v>
      </c>
      <c r="AU83" s="55">
        <v>256.0</v>
      </c>
      <c r="AV83" s="56">
        <v>8192.0</v>
      </c>
      <c r="AW83" s="87">
        <v>4339.0</v>
      </c>
      <c r="AX83" s="62"/>
      <c r="AY83" s="62">
        <f t="shared" si="25"/>
        <v>358</v>
      </c>
      <c r="AZ83" s="62"/>
      <c r="BB83" s="70">
        <v>127607.0</v>
      </c>
      <c r="BC83" s="34">
        <v>1250.0</v>
      </c>
      <c r="BD83" s="88">
        <v>4339.0</v>
      </c>
      <c r="BE83" s="34"/>
      <c r="BF83" s="34"/>
      <c r="BG83" s="34"/>
      <c r="BH83" s="34"/>
      <c r="BI83" s="34"/>
      <c r="BJ83" s="34"/>
      <c r="BK83" s="55">
        <v>1250.0</v>
      </c>
      <c r="BL83" s="55">
        <v>256.0</v>
      </c>
      <c r="BM83" s="56">
        <v>8192.0</v>
      </c>
      <c r="BN83" s="87">
        <v>4568.0</v>
      </c>
    </row>
    <row r="84">
      <c r="A84" s="7">
        <v>127607.0</v>
      </c>
      <c r="B84" s="7">
        <v>10.0</v>
      </c>
      <c r="C84" s="7">
        <v>31.0</v>
      </c>
      <c r="D84" s="7">
        <v>0.03</v>
      </c>
      <c r="E84" s="7">
        <v>0.5</v>
      </c>
      <c r="F84" s="7" t="s">
        <v>14</v>
      </c>
      <c r="G84" s="7" t="s">
        <v>14</v>
      </c>
      <c r="H84" s="7">
        <v>2048.0</v>
      </c>
      <c r="I84" s="7">
        <v>200.0</v>
      </c>
      <c r="J84" s="7">
        <v>1300.0</v>
      </c>
      <c r="K84" s="37">
        <f t="shared" si="27"/>
        <v>256</v>
      </c>
      <c r="L84" s="37">
        <f t="shared" si="28"/>
        <v>8192</v>
      </c>
      <c r="M84" s="39">
        <v>4518.0</v>
      </c>
      <c r="N84" s="24"/>
      <c r="O84" s="24"/>
      <c r="P84" s="40">
        <f t="shared" si="23"/>
        <v>-477</v>
      </c>
      <c r="Q84" s="24"/>
      <c r="R84" s="85"/>
      <c r="S84" s="51">
        <v>127607.0</v>
      </c>
      <c r="T84" s="58">
        <v>10.0</v>
      </c>
      <c r="U84" s="58">
        <v>31.0</v>
      </c>
      <c r="V84" s="58">
        <v>0.03</v>
      </c>
      <c r="W84" s="58">
        <v>0.5</v>
      </c>
      <c r="X84" s="58" t="s">
        <v>14</v>
      </c>
      <c r="Y84" s="58" t="s">
        <v>14</v>
      </c>
      <c r="Z84" s="58">
        <v>2048.0</v>
      </c>
      <c r="AA84" s="58">
        <v>200.0</v>
      </c>
      <c r="AB84" s="58">
        <v>1300.0</v>
      </c>
      <c r="AC84" s="58">
        <v>256.0</v>
      </c>
      <c r="AD84" s="59">
        <v>8192.0</v>
      </c>
      <c r="AE84" s="53">
        <v>4041.0</v>
      </c>
      <c r="AF84" s="62"/>
      <c r="AG84" s="62"/>
      <c r="AH84" s="40">
        <f t="shared" si="24"/>
        <v>119</v>
      </c>
      <c r="AI84" s="62"/>
      <c r="AK84" s="70">
        <v>127607.0</v>
      </c>
      <c r="AL84" s="89">
        <v>1300.0</v>
      </c>
      <c r="AM84" s="89" t="s">
        <v>41</v>
      </c>
      <c r="AN84" s="89"/>
      <c r="AO84" s="89"/>
      <c r="AP84" s="89"/>
      <c r="AQ84" s="89"/>
      <c r="AR84" s="89"/>
      <c r="AS84" s="89"/>
      <c r="AT84" s="55">
        <v>1300.0</v>
      </c>
      <c r="AU84" s="55">
        <v>256.0</v>
      </c>
      <c r="AV84" s="56">
        <v>8192.0</v>
      </c>
      <c r="AW84" s="87">
        <v>4160.0</v>
      </c>
      <c r="AX84" s="62"/>
      <c r="AY84" s="62">
        <f t="shared" si="25"/>
        <v>755</v>
      </c>
      <c r="AZ84" s="62"/>
      <c r="BB84" s="70">
        <v>127607.0</v>
      </c>
      <c r="BC84" s="89">
        <v>1300.0</v>
      </c>
      <c r="BD84" s="89" t="s">
        <v>41</v>
      </c>
      <c r="BE84" s="89"/>
      <c r="BF84" s="89"/>
      <c r="BG84" s="89"/>
      <c r="BH84" s="89"/>
      <c r="BI84" s="89"/>
      <c r="BJ84" s="89"/>
      <c r="BK84" s="55">
        <v>1300.0</v>
      </c>
      <c r="BL84" s="55">
        <v>256.0</v>
      </c>
      <c r="BM84" s="56">
        <v>8192.0</v>
      </c>
      <c r="BN84" s="87">
        <v>4796.0</v>
      </c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62"/>
      <c r="N85" s="24"/>
      <c r="O85" s="24"/>
      <c r="P85" s="63">
        <f>SUM(P74:P84)</f>
        <v>-4787</v>
      </c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62">
        <f>SUM(AE74:AE84)</f>
        <v>47483</v>
      </c>
      <c r="AF85" s="62"/>
      <c r="AG85" s="90" t="s">
        <v>34</v>
      </c>
      <c r="AH85" s="63">
        <f>SUM(AH74:AH84)</f>
        <v>-2086</v>
      </c>
      <c r="AI85" s="62"/>
      <c r="AJ85" s="62"/>
      <c r="AK85" s="91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62">
        <f>SUM(AW74:AW84)</f>
        <v>45397</v>
      </c>
      <c r="AX85" s="62"/>
      <c r="AY85" s="62"/>
      <c r="AZ85" s="62"/>
      <c r="BA85" s="62"/>
      <c r="BB85" s="62"/>
      <c r="BC85" s="62">
        <f>BN85-AE85</f>
        <v>1768</v>
      </c>
      <c r="BD85" s="62"/>
      <c r="BE85" s="62"/>
      <c r="BF85" s="62"/>
      <c r="BG85" s="62"/>
      <c r="BH85" s="62"/>
      <c r="BI85" s="62"/>
      <c r="BJ85" s="62"/>
      <c r="BK85" s="62"/>
      <c r="BL85" s="62"/>
      <c r="BM85" s="62"/>
      <c r="BN85" s="62">
        <f>SUM(BN74:BN84)</f>
        <v>49251</v>
      </c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62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93">
        <f>AE14+AE28+AE43+AE57+AE71+AE85</f>
        <v>271387</v>
      </c>
      <c r="AF86" s="62"/>
      <c r="AG86" s="62"/>
      <c r="AH86" s="62"/>
      <c r="AI86" s="62"/>
      <c r="AJ86" s="62"/>
      <c r="AK86" s="91"/>
      <c r="AL86" s="94"/>
      <c r="AM86" s="94"/>
      <c r="AN86" s="94"/>
      <c r="AO86" s="94"/>
      <c r="AP86" s="94"/>
      <c r="AQ86" s="94"/>
      <c r="AR86" s="94"/>
      <c r="AS86" s="94"/>
      <c r="AT86" s="94"/>
      <c r="AU86" s="94"/>
      <c r="AV86" s="94"/>
      <c r="AW86" s="93">
        <f>AW14+AW28+AW43+AW57+AW71+AW85</f>
        <v>268553</v>
      </c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62"/>
      <c r="N87" s="24"/>
      <c r="O87" s="24"/>
      <c r="P87" s="95">
        <f>P14+P28+P43+P57+P71+P85</f>
        <v>21201</v>
      </c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9"/>
      <c r="AF87" s="79"/>
      <c r="AG87" s="79"/>
      <c r="AH87" s="95">
        <f>AH14+AH28+AH43+AH57+AH71+AH85</f>
        <v>-2834</v>
      </c>
      <c r="AI87" s="62"/>
      <c r="AJ87" s="62"/>
      <c r="AK87" s="91"/>
      <c r="AL87" s="94"/>
      <c r="AM87" s="94"/>
      <c r="AN87" s="94"/>
      <c r="AO87" s="94"/>
      <c r="AP87" s="94"/>
      <c r="AQ87" s="94"/>
      <c r="AR87" s="94"/>
      <c r="AS87" s="94"/>
      <c r="AT87" s="94"/>
      <c r="AU87" s="94"/>
      <c r="AV87" s="96"/>
      <c r="AW87" s="45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62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62"/>
      <c r="AF88" s="62"/>
      <c r="AG88" s="62"/>
      <c r="AH88" s="62"/>
      <c r="AI88" s="62"/>
      <c r="AJ88" s="62"/>
      <c r="AL88" s="94"/>
      <c r="AM88" s="94"/>
      <c r="AN88" s="94"/>
      <c r="AO88" s="94"/>
      <c r="AP88" s="94"/>
      <c r="AQ88" s="94"/>
      <c r="AR88" s="94"/>
      <c r="AS88" s="94"/>
      <c r="AT88" s="94"/>
      <c r="AU88" s="94"/>
      <c r="AV88" s="96"/>
      <c r="AW88" s="45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62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62"/>
      <c r="AF89" s="62"/>
      <c r="AG89" s="97" t="s">
        <v>42</v>
      </c>
      <c r="AH89" s="98">
        <f>AE86-AW86</f>
        <v>2834</v>
      </c>
      <c r="AI89" s="62"/>
      <c r="AL89" s="94"/>
      <c r="AM89" s="94"/>
      <c r="AN89" s="94"/>
      <c r="AO89" s="94"/>
      <c r="AP89" s="94"/>
      <c r="AQ89" s="94"/>
      <c r="AR89" s="94"/>
      <c r="AS89" s="94"/>
      <c r="AT89" s="94"/>
      <c r="AU89" s="94"/>
      <c r="AV89" s="96"/>
      <c r="AW89" s="45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62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62"/>
      <c r="AF90" s="62"/>
      <c r="AG90" s="90" t="s">
        <v>34</v>
      </c>
      <c r="AH90" s="99">
        <v>3.0</v>
      </c>
      <c r="AI90" s="62"/>
      <c r="AJ90" s="62"/>
      <c r="AK90" s="91"/>
      <c r="AL90" s="94"/>
      <c r="AM90" s="94"/>
      <c r="AN90" s="94"/>
      <c r="AO90" s="94"/>
      <c r="AP90" s="94"/>
      <c r="AQ90" s="94"/>
      <c r="AR90" s="94"/>
      <c r="AS90" s="94"/>
      <c r="AT90" s="94"/>
      <c r="AU90" s="94"/>
      <c r="AV90" s="96"/>
      <c r="AW90" s="45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62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62"/>
      <c r="AF91" s="62"/>
      <c r="AG91" s="90" t="s">
        <v>36</v>
      </c>
      <c r="AH91" s="99">
        <v>3.0</v>
      </c>
      <c r="AI91" s="62"/>
      <c r="AJ91" s="62"/>
      <c r="AK91" s="91"/>
      <c r="AL91" s="94"/>
      <c r="AM91" s="94"/>
      <c r="AN91" s="94"/>
      <c r="AO91" s="94"/>
      <c r="AP91" s="94"/>
      <c r="AQ91" s="94"/>
      <c r="AR91" s="94"/>
      <c r="AS91" s="94"/>
      <c r="AT91" s="94"/>
      <c r="AU91" s="94"/>
      <c r="AV91" s="96"/>
      <c r="AW91" s="45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62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62"/>
      <c r="AF92" s="62"/>
      <c r="AG92" s="62"/>
      <c r="AH92" s="62"/>
      <c r="AI92" s="62"/>
      <c r="AJ92" s="62"/>
      <c r="AK92" s="91"/>
      <c r="AL92" s="94"/>
      <c r="AM92" s="94"/>
      <c r="AN92" s="94"/>
      <c r="AO92" s="94"/>
      <c r="AP92" s="94"/>
      <c r="AQ92" s="94"/>
      <c r="AR92" s="94"/>
      <c r="AS92" s="94"/>
      <c r="AT92" s="94"/>
      <c r="AU92" s="94"/>
      <c r="AV92" s="96"/>
      <c r="AW92" s="45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62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62"/>
      <c r="AF93" s="62"/>
      <c r="AG93" s="62"/>
      <c r="AH93" s="62"/>
      <c r="AI93" s="62"/>
      <c r="AJ93" s="62"/>
      <c r="AK93" s="91"/>
      <c r="AL93" s="94"/>
      <c r="AM93" s="94"/>
      <c r="AN93" s="94"/>
      <c r="AO93" s="94"/>
      <c r="AP93" s="94"/>
      <c r="AQ93" s="94"/>
      <c r="AR93" s="94"/>
      <c r="AS93" s="94"/>
      <c r="AT93" s="94"/>
      <c r="AU93" s="94"/>
      <c r="AV93" s="96"/>
      <c r="AW93" s="45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62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62"/>
      <c r="AF94" s="62"/>
      <c r="AG94" s="62"/>
      <c r="AH94" s="62"/>
      <c r="AI94" s="62"/>
      <c r="AJ94" s="62"/>
      <c r="AK94" s="91"/>
      <c r="AL94" s="94"/>
      <c r="AM94" s="94"/>
      <c r="AN94" s="94"/>
      <c r="AO94" s="94"/>
      <c r="AP94" s="94"/>
      <c r="AQ94" s="94"/>
      <c r="AR94" s="94"/>
      <c r="AS94" s="94"/>
      <c r="AT94" s="94"/>
      <c r="AU94" s="94"/>
      <c r="AV94" s="96"/>
      <c r="AW94" s="45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62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62"/>
      <c r="AF95" s="62"/>
      <c r="AG95" s="62"/>
      <c r="AH95" s="62"/>
      <c r="AI95" s="62"/>
      <c r="AJ95" s="62"/>
      <c r="AK95" s="91"/>
      <c r="AL95" s="73"/>
      <c r="AM95" s="73"/>
      <c r="AN95" s="73"/>
      <c r="AO95" s="73"/>
      <c r="AP95" s="73"/>
      <c r="AQ95" s="73"/>
      <c r="AR95" s="73"/>
      <c r="AS95" s="73"/>
      <c r="AT95" s="73"/>
      <c r="AU95" s="73"/>
      <c r="AV95" s="99"/>
      <c r="AW95" s="90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62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62"/>
      <c r="AF96" s="62"/>
      <c r="AG96" s="62"/>
      <c r="AH96" s="62"/>
      <c r="AI96" s="62"/>
      <c r="AJ96" s="62"/>
      <c r="AK96" s="91"/>
      <c r="AL96" s="73"/>
      <c r="AM96" s="73"/>
      <c r="AN96" s="73"/>
      <c r="AO96" s="73"/>
      <c r="AP96" s="73"/>
      <c r="AQ96" s="73"/>
      <c r="AR96" s="73"/>
      <c r="AS96" s="73"/>
      <c r="AT96" s="73"/>
      <c r="AU96" s="73"/>
      <c r="AV96" s="99"/>
      <c r="AW96" s="90"/>
      <c r="AX96" s="62"/>
      <c r="AY96" s="62"/>
      <c r="AZ96" s="62"/>
      <c r="BA96" s="62"/>
      <c r="BB96" s="62"/>
      <c r="BC96" s="62"/>
      <c r="BD96" s="62"/>
      <c r="BE96" s="62"/>
      <c r="BF96" s="62"/>
      <c r="BG96" s="62"/>
      <c r="BH96" s="62"/>
      <c r="BI96" s="62"/>
      <c r="BJ96" s="62"/>
      <c r="BK96" s="62"/>
      <c r="BL96" s="62"/>
      <c r="BM96" s="62"/>
      <c r="BN96" s="62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62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62"/>
      <c r="AF97" s="62"/>
      <c r="AG97" s="62"/>
      <c r="AH97" s="62"/>
      <c r="AI97" s="62"/>
      <c r="AJ97" s="62"/>
      <c r="AK97" s="91"/>
      <c r="AL97" s="73"/>
      <c r="AM97" s="73"/>
      <c r="AN97" s="73"/>
      <c r="AO97" s="73"/>
      <c r="AP97" s="73"/>
      <c r="AQ97" s="73"/>
      <c r="AR97" s="73"/>
      <c r="AS97" s="73"/>
      <c r="AT97" s="73"/>
      <c r="AU97" s="73"/>
      <c r="AV97" s="99"/>
      <c r="AW97" s="90"/>
      <c r="AX97" s="62"/>
      <c r="AY97" s="62"/>
      <c r="AZ97" s="62"/>
      <c r="BA97" s="62"/>
      <c r="BB97" s="62"/>
      <c r="BC97" s="62"/>
      <c r="BD97" s="62"/>
      <c r="BE97" s="62"/>
      <c r="BF97" s="62"/>
      <c r="BG97" s="62"/>
      <c r="BH97" s="62"/>
      <c r="BI97" s="62"/>
      <c r="BJ97" s="62"/>
      <c r="BK97" s="62"/>
      <c r="BL97" s="62"/>
      <c r="BM97" s="62"/>
      <c r="BN97" s="62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62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62"/>
      <c r="AF98" s="62"/>
      <c r="AG98" s="62"/>
      <c r="AH98" s="62"/>
      <c r="AI98" s="62"/>
      <c r="AJ98" s="62"/>
      <c r="AK98" s="91"/>
      <c r="AL98" s="100"/>
      <c r="AM98" s="100"/>
      <c r="AN98" s="100"/>
      <c r="AO98" s="100"/>
      <c r="AP98" s="100"/>
      <c r="AQ98" s="100"/>
      <c r="AR98" s="100"/>
      <c r="AS98" s="100"/>
      <c r="AT98" s="100"/>
      <c r="AU98" s="100"/>
      <c r="AV98" s="100"/>
      <c r="AW98" s="100"/>
      <c r="AX98" s="62"/>
      <c r="AY98" s="62"/>
      <c r="AZ98" s="62"/>
      <c r="BA98" s="62"/>
      <c r="BB98" s="62"/>
      <c r="BC98" s="62"/>
      <c r="BD98" s="62"/>
      <c r="BE98" s="62"/>
      <c r="BF98" s="62"/>
      <c r="BG98" s="62"/>
      <c r="BH98" s="62"/>
      <c r="BI98" s="62"/>
      <c r="BJ98" s="62"/>
      <c r="BK98" s="62"/>
      <c r="BL98" s="62"/>
      <c r="BM98" s="62"/>
      <c r="BN98" s="62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62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62"/>
      <c r="AF99" s="62"/>
      <c r="AG99" s="62"/>
      <c r="AH99" s="62"/>
      <c r="AI99" s="62"/>
      <c r="AJ99" s="62"/>
      <c r="AK99" s="91"/>
      <c r="AL99" s="94"/>
      <c r="AM99" s="94"/>
      <c r="AN99" s="94"/>
      <c r="AO99" s="94"/>
      <c r="AP99" s="94"/>
      <c r="AQ99" s="94"/>
      <c r="AR99" s="94"/>
      <c r="AS99" s="94"/>
      <c r="AT99" s="94"/>
      <c r="AU99" s="94"/>
      <c r="AV99" s="94"/>
      <c r="AW99" s="45"/>
      <c r="AX99" s="62"/>
      <c r="AY99" s="62"/>
      <c r="AZ99" s="62"/>
      <c r="BA99" s="62"/>
      <c r="BB99" s="62"/>
      <c r="BC99" s="62"/>
      <c r="BD99" s="62"/>
      <c r="BE99" s="62"/>
      <c r="BF99" s="62"/>
      <c r="BG99" s="62"/>
      <c r="BH99" s="62"/>
      <c r="BI99" s="62"/>
      <c r="BJ99" s="62"/>
      <c r="BK99" s="62"/>
      <c r="BL99" s="62"/>
      <c r="BM99" s="62"/>
      <c r="BN99" s="62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62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62"/>
      <c r="AF100" s="62"/>
      <c r="AG100" s="62"/>
      <c r="AH100" s="62"/>
      <c r="AI100" s="62"/>
      <c r="AJ100" s="62"/>
      <c r="AK100" s="91"/>
      <c r="AL100" s="94"/>
      <c r="AM100" s="94"/>
      <c r="AN100" s="94"/>
      <c r="AO100" s="94"/>
      <c r="AP100" s="94"/>
      <c r="AQ100" s="94"/>
      <c r="AR100" s="94"/>
      <c r="AS100" s="94"/>
      <c r="AT100" s="94"/>
      <c r="AU100" s="94"/>
      <c r="AV100" s="96"/>
      <c r="AW100" s="45"/>
      <c r="AX100" s="62"/>
      <c r="AY100" s="62"/>
      <c r="AZ100" s="62"/>
      <c r="BA100" s="62"/>
      <c r="BB100" s="62"/>
      <c r="BC100" s="62"/>
      <c r="BD100" s="62"/>
      <c r="BE100" s="62"/>
      <c r="BF100" s="62"/>
      <c r="BG100" s="62"/>
      <c r="BH100" s="62"/>
      <c r="BI100" s="62"/>
      <c r="BJ100" s="62"/>
      <c r="BK100" s="62"/>
      <c r="BL100" s="62"/>
      <c r="BM100" s="62"/>
      <c r="BN100" s="62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62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62"/>
      <c r="AF101" s="62"/>
      <c r="AG101" s="62"/>
      <c r="AH101" s="62"/>
      <c r="AI101" s="62"/>
      <c r="AJ101" s="62"/>
      <c r="AK101" s="91"/>
      <c r="AL101" s="94"/>
      <c r="AM101" s="94"/>
      <c r="AN101" s="94"/>
      <c r="AO101" s="94"/>
      <c r="AP101" s="94"/>
      <c r="AQ101" s="94"/>
      <c r="AR101" s="94"/>
      <c r="AS101" s="94"/>
      <c r="AT101" s="94"/>
      <c r="AU101" s="94"/>
      <c r="AV101" s="96"/>
      <c r="AW101" s="45"/>
      <c r="AX101" s="62"/>
      <c r="AY101" s="62"/>
      <c r="AZ101" s="62"/>
      <c r="BA101" s="62"/>
      <c r="BB101" s="62"/>
      <c r="BC101" s="62"/>
      <c r="BD101" s="62"/>
      <c r="BE101" s="62"/>
      <c r="BF101" s="62"/>
      <c r="BG101" s="62"/>
      <c r="BH101" s="62"/>
      <c r="BI101" s="62"/>
      <c r="BJ101" s="62"/>
      <c r="BK101" s="62"/>
      <c r="BL101" s="62"/>
      <c r="BM101" s="62"/>
      <c r="BN101" s="62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62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62"/>
      <c r="AF102" s="62"/>
      <c r="AG102" s="62"/>
      <c r="AH102" s="62"/>
      <c r="AI102" s="62"/>
      <c r="AJ102" s="62"/>
      <c r="AK102" s="91"/>
      <c r="AL102" s="94"/>
      <c r="AM102" s="94"/>
      <c r="AN102" s="94"/>
      <c r="AO102" s="94"/>
      <c r="AP102" s="94"/>
      <c r="AQ102" s="94"/>
      <c r="AR102" s="94"/>
      <c r="AS102" s="94"/>
      <c r="AT102" s="94"/>
      <c r="AU102" s="94"/>
      <c r="AV102" s="96"/>
      <c r="AW102" s="45"/>
      <c r="AX102" s="62"/>
      <c r="AY102" s="62"/>
      <c r="AZ102" s="62"/>
      <c r="BA102" s="62"/>
      <c r="BB102" s="62"/>
      <c r="BC102" s="62"/>
      <c r="BD102" s="62"/>
      <c r="BE102" s="62"/>
      <c r="BF102" s="62"/>
      <c r="BG102" s="62"/>
      <c r="BH102" s="62"/>
      <c r="BI102" s="62"/>
      <c r="BJ102" s="62"/>
      <c r="BK102" s="62"/>
      <c r="BL102" s="62"/>
      <c r="BM102" s="62"/>
      <c r="BN102" s="62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62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62"/>
      <c r="AF103" s="62"/>
      <c r="AG103" s="62"/>
      <c r="AH103" s="62"/>
      <c r="AI103" s="62"/>
      <c r="AJ103" s="62"/>
      <c r="AK103" s="91"/>
      <c r="AL103" s="94"/>
      <c r="AM103" s="94"/>
      <c r="AN103" s="94"/>
      <c r="AO103" s="94"/>
      <c r="AP103" s="94"/>
      <c r="AQ103" s="94"/>
      <c r="AR103" s="94"/>
      <c r="AS103" s="94"/>
      <c r="AT103" s="94"/>
      <c r="AU103" s="94"/>
      <c r="AV103" s="96"/>
      <c r="AW103" s="45"/>
      <c r="AX103" s="62"/>
      <c r="AY103" s="62"/>
      <c r="AZ103" s="62"/>
      <c r="BA103" s="62"/>
      <c r="BB103" s="62"/>
      <c r="BC103" s="62"/>
      <c r="BD103" s="62"/>
      <c r="BE103" s="62"/>
      <c r="BF103" s="62"/>
      <c r="BG103" s="62"/>
      <c r="BH103" s="62"/>
      <c r="BI103" s="62"/>
      <c r="BJ103" s="62"/>
      <c r="BK103" s="62"/>
      <c r="BL103" s="62"/>
      <c r="BM103" s="62"/>
      <c r="BN103" s="62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62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62"/>
      <c r="AF104" s="62"/>
      <c r="AG104" s="62"/>
      <c r="AH104" s="62"/>
      <c r="AI104" s="62"/>
      <c r="AJ104" s="62"/>
      <c r="AK104" s="91"/>
      <c r="AL104" s="94"/>
      <c r="AM104" s="94"/>
      <c r="AN104" s="94"/>
      <c r="AO104" s="94"/>
      <c r="AP104" s="94"/>
      <c r="AQ104" s="94"/>
      <c r="AR104" s="94"/>
      <c r="AS104" s="94"/>
      <c r="AT104" s="94"/>
      <c r="AU104" s="94"/>
      <c r="AV104" s="96"/>
      <c r="AW104" s="45"/>
      <c r="AX104" s="62"/>
      <c r="AY104" s="62"/>
      <c r="AZ104" s="62"/>
      <c r="BA104" s="62"/>
      <c r="BB104" s="62"/>
      <c r="BC104" s="62"/>
      <c r="BD104" s="62"/>
      <c r="BE104" s="62"/>
      <c r="BF104" s="62"/>
      <c r="BG104" s="62"/>
      <c r="BH104" s="62"/>
      <c r="BI104" s="62"/>
      <c r="BJ104" s="62"/>
      <c r="BK104" s="62"/>
      <c r="BL104" s="62"/>
      <c r="BM104" s="62"/>
      <c r="BN104" s="62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62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62"/>
      <c r="AF105" s="62"/>
      <c r="AG105" s="62"/>
      <c r="AH105" s="62"/>
      <c r="AI105" s="62"/>
      <c r="AJ105" s="62"/>
      <c r="AK105" s="91"/>
      <c r="AL105" s="94"/>
      <c r="AM105" s="94"/>
      <c r="AN105" s="94"/>
      <c r="AO105" s="94"/>
      <c r="AP105" s="94"/>
      <c r="AQ105" s="94"/>
      <c r="AR105" s="94"/>
      <c r="AS105" s="94"/>
      <c r="AT105" s="94"/>
      <c r="AU105" s="94"/>
      <c r="AV105" s="96"/>
      <c r="AW105" s="45"/>
      <c r="AX105" s="62"/>
      <c r="AY105" s="62"/>
      <c r="AZ105" s="62"/>
      <c r="BA105" s="62"/>
      <c r="BB105" s="62"/>
      <c r="BC105" s="62"/>
      <c r="BD105" s="62"/>
      <c r="BE105" s="62"/>
      <c r="BF105" s="62"/>
      <c r="BG105" s="62"/>
      <c r="BH105" s="62"/>
      <c r="BI105" s="62"/>
      <c r="BJ105" s="62"/>
      <c r="BK105" s="62"/>
      <c r="BL105" s="62"/>
      <c r="BM105" s="62"/>
      <c r="BN105" s="62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62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62"/>
      <c r="AF106" s="62"/>
      <c r="AG106" s="62"/>
      <c r="AH106" s="62"/>
      <c r="AI106" s="62"/>
      <c r="AJ106" s="62"/>
      <c r="AK106" s="91"/>
      <c r="AL106" s="94"/>
      <c r="AM106" s="94"/>
      <c r="AN106" s="94"/>
      <c r="AO106" s="94"/>
      <c r="AP106" s="94"/>
      <c r="AQ106" s="94"/>
      <c r="AR106" s="94"/>
      <c r="AS106" s="94"/>
      <c r="AT106" s="94"/>
      <c r="AU106" s="94"/>
      <c r="AV106" s="96"/>
      <c r="AW106" s="45"/>
      <c r="AX106" s="62"/>
      <c r="AY106" s="62"/>
      <c r="AZ106" s="62"/>
      <c r="BA106" s="62"/>
      <c r="BB106" s="62"/>
      <c r="BC106" s="62"/>
      <c r="BD106" s="62"/>
      <c r="BE106" s="62"/>
      <c r="BF106" s="62"/>
      <c r="BG106" s="62"/>
      <c r="BH106" s="62"/>
      <c r="BI106" s="62"/>
      <c r="BJ106" s="62"/>
      <c r="BK106" s="62"/>
      <c r="BL106" s="62"/>
      <c r="BM106" s="62"/>
      <c r="BN106" s="62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62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62"/>
      <c r="AF107" s="62"/>
      <c r="AG107" s="62"/>
      <c r="AH107" s="62"/>
      <c r="AI107" s="62"/>
      <c r="AJ107" s="62"/>
      <c r="AK107" s="91"/>
      <c r="AL107" s="94"/>
      <c r="AM107" s="94"/>
      <c r="AN107" s="94"/>
      <c r="AO107" s="94"/>
      <c r="AP107" s="94"/>
      <c r="AQ107" s="94"/>
      <c r="AR107" s="94"/>
      <c r="AS107" s="94"/>
      <c r="AT107" s="94"/>
      <c r="AU107" s="94"/>
      <c r="AV107" s="96"/>
      <c r="AW107" s="45"/>
      <c r="AX107" s="62"/>
      <c r="AY107" s="62"/>
      <c r="AZ107" s="62"/>
      <c r="BA107" s="62"/>
      <c r="BB107" s="62"/>
      <c r="BC107" s="62"/>
      <c r="BD107" s="62"/>
      <c r="BE107" s="62"/>
      <c r="BF107" s="62"/>
      <c r="BG107" s="62"/>
      <c r="BH107" s="62"/>
      <c r="BI107" s="62"/>
      <c r="BJ107" s="62"/>
      <c r="BK107" s="62"/>
      <c r="BL107" s="62"/>
      <c r="BM107" s="62"/>
      <c r="BN107" s="62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62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62"/>
      <c r="AF108" s="62"/>
      <c r="AG108" s="62"/>
      <c r="AH108" s="62"/>
      <c r="AI108" s="62"/>
      <c r="AJ108" s="62"/>
      <c r="AK108" s="91"/>
      <c r="AL108" s="94"/>
      <c r="AM108" s="94"/>
      <c r="AN108" s="94"/>
      <c r="AO108" s="94"/>
      <c r="AP108" s="94"/>
      <c r="AQ108" s="94"/>
      <c r="AR108" s="94"/>
      <c r="AS108" s="94"/>
      <c r="AT108" s="94"/>
      <c r="AU108" s="94"/>
      <c r="AV108" s="96"/>
      <c r="AW108" s="45"/>
      <c r="AX108" s="62"/>
      <c r="AY108" s="62"/>
      <c r="AZ108" s="62"/>
      <c r="BA108" s="62"/>
      <c r="BB108" s="62"/>
      <c r="BC108" s="62"/>
      <c r="BD108" s="62"/>
      <c r="BE108" s="62"/>
      <c r="BF108" s="62"/>
      <c r="BG108" s="62"/>
      <c r="BH108" s="62"/>
      <c r="BI108" s="62"/>
      <c r="BJ108" s="62"/>
      <c r="BK108" s="62"/>
      <c r="BL108" s="62"/>
      <c r="BM108" s="62"/>
      <c r="BN108" s="62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62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62"/>
      <c r="AF109" s="62"/>
      <c r="AG109" s="62"/>
      <c r="AH109" s="62"/>
      <c r="AI109" s="62"/>
      <c r="AJ109" s="62"/>
      <c r="AK109" s="91"/>
      <c r="AL109" s="94"/>
      <c r="AM109" s="94"/>
      <c r="AN109" s="94"/>
      <c r="AO109" s="94"/>
      <c r="AP109" s="94"/>
      <c r="AQ109" s="94"/>
      <c r="AR109" s="94"/>
      <c r="AS109" s="94"/>
      <c r="AT109" s="94"/>
      <c r="AU109" s="94"/>
      <c r="AV109" s="96"/>
      <c r="AW109" s="45"/>
      <c r="AX109" s="62"/>
      <c r="AY109" s="62"/>
      <c r="AZ109" s="62"/>
      <c r="BA109" s="62"/>
      <c r="BB109" s="62"/>
      <c r="BC109" s="62"/>
      <c r="BD109" s="62"/>
      <c r="BE109" s="62"/>
      <c r="BF109" s="62"/>
      <c r="BG109" s="62"/>
      <c r="BH109" s="62"/>
      <c r="BI109" s="62"/>
      <c r="BJ109" s="62"/>
      <c r="BK109" s="62"/>
      <c r="BL109" s="62"/>
      <c r="BM109" s="62"/>
      <c r="BN109" s="62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62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62"/>
      <c r="AF110" s="62"/>
      <c r="AG110" s="62"/>
      <c r="AH110" s="62"/>
      <c r="AI110" s="62"/>
      <c r="AJ110" s="62"/>
      <c r="AK110" s="91"/>
      <c r="AL110" s="73"/>
      <c r="AM110" s="73"/>
      <c r="AN110" s="73"/>
      <c r="AO110" s="73"/>
      <c r="AP110" s="73"/>
      <c r="AQ110" s="73"/>
      <c r="AR110" s="73"/>
      <c r="AS110" s="73"/>
      <c r="AT110" s="73"/>
      <c r="AU110" s="73"/>
      <c r="AV110" s="99"/>
      <c r="AW110" s="90"/>
      <c r="AX110" s="62"/>
      <c r="AY110" s="62"/>
      <c r="AZ110" s="62"/>
      <c r="BA110" s="62"/>
      <c r="BB110" s="62"/>
      <c r="BC110" s="62"/>
      <c r="BD110" s="62"/>
      <c r="BE110" s="62"/>
      <c r="BF110" s="62"/>
      <c r="BG110" s="62"/>
      <c r="BH110" s="62"/>
      <c r="BI110" s="62"/>
      <c r="BJ110" s="62"/>
      <c r="BK110" s="62"/>
      <c r="BL110" s="62"/>
      <c r="BM110" s="62"/>
      <c r="BN110" s="62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62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62"/>
      <c r="AF111" s="62"/>
      <c r="AG111" s="62"/>
      <c r="AH111" s="62"/>
      <c r="AI111" s="62"/>
      <c r="AJ111" s="62"/>
      <c r="AK111" s="91"/>
      <c r="AL111" s="62"/>
      <c r="AM111" s="62"/>
      <c r="AN111" s="62"/>
      <c r="AO111" s="62"/>
      <c r="AP111" s="62"/>
      <c r="AQ111" s="62"/>
      <c r="AR111" s="62"/>
      <c r="AS111" s="62"/>
      <c r="AT111" s="62"/>
      <c r="AU111" s="62"/>
      <c r="AV111" s="62"/>
      <c r="AW111" s="62"/>
      <c r="AX111" s="62"/>
      <c r="AY111" s="62"/>
      <c r="AZ111" s="62"/>
      <c r="BA111" s="62"/>
      <c r="BB111" s="62"/>
      <c r="BC111" s="62"/>
      <c r="BD111" s="62"/>
      <c r="BE111" s="62"/>
      <c r="BF111" s="62"/>
      <c r="BG111" s="62"/>
      <c r="BH111" s="62"/>
      <c r="BI111" s="62"/>
      <c r="BJ111" s="62"/>
      <c r="BK111" s="62"/>
      <c r="BL111" s="62"/>
      <c r="BM111" s="62"/>
      <c r="BN111" s="62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62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62"/>
      <c r="AF112" s="62"/>
      <c r="AG112" s="62"/>
      <c r="AH112" s="62"/>
      <c r="AI112" s="62"/>
      <c r="AJ112" s="62"/>
      <c r="AK112" s="91"/>
      <c r="AL112" s="73"/>
      <c r="AM112" s="73"/>
      <c r="AN112" s="73"/>
      <c r="AO112" s="73"/>
      <c r="AP112" s="73"/>
      <c r="AQ112" s="73"/>
      <c r="AR112" s="73"/>
      <c r="AS112" s="73"/>
      <c r="AT112" s="73"/>
      <c r="AU112" s="73"/>
      <c r="AV112" s="73"/>
      <c r="AW112" s="90"/>
      <c r="AX112" s="62"/>
      <c r="AY112" s="62"/>
      <c r="AZ112" s="62"/>
      <c r="BA112" s="62"/>
      <c r="BB112" s="62"/>
      <c r="BC112" s="62"/>
      <c r="BD112" s="62"/>
      <c r="BE112" s="62"/>
      <c r="BF112" s="62"/>
      <c r="BG112" s="62"/>
      <c r="BH112" s="62"/>
      <c r="BI112" s="62"/>
      <c r="BJ112" s="62"/>
      <c r="BK112" s="62"/>
      <c r="BL112" s="62"/>
      <c r="BM112" s="62"/>
      <c r="BN112" s="62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62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62"/>
      <c r="AF113" s="62"/>
      <c r="AG113" s="62"/>
      <c r="AH113" s="62"/>
      <c r="AI113" s="62"/>
      <c r="AJ113" s="62"/>
      <c r="AK113" s="91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101"/>
      <c r="AW113" s="27"/>
      <c r="AX113" s="62"/>
      <c r="AY113" s="62"/>
      <c r="AZ113" s="62"/>
      <c r="BA113" s="62"/>
      <c r="BB113" s="62"/>
      <c r="BC113" s="62"/>
      <c r="BD113" s="62"/>
      <c r="BE113" s="62"/>
      <c r="BF113" s="62"/>
      <c r="BG113" s="62"/>
      <c r="BH113" s="62"/>
      <c r="BI113" s="62"/>
      <c r="BJ113" s="62"/>
      <c r="BK113" s="62"/>
      <c r="BL113" s="62"/>
      <c r="BM113" s="62"/>
      <c r="BN113" s="62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62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62"/>
      <c r="AF114" s="62"/>
      <c r="AG114" s="62"/>
      <c r="AH114" s="62"/>
      <c r="AI114" s="62"/>
      <c r="AJ114" s="62"/>
      <c r="AK114" s="91"/>
      <c r="AL114" s="94"/>
      <c r="AM114" s="94"/>
      <c r="AN114" s="94"/>
      <c r="AO114" s="94"/>
      <c r="AP114" s="94"/>
      <c r="AQ114" s="94"/>
      <c r="AR114" s="94"/>
      <c r="AS114" s="94"/>
      <c r="AT114" s="94"/>
      <c r="AU114" s="94"/>
      <c r="AV114" s="96"/>
      <c r="AW114" s="45"/>
      <c r="AX114" s="62"/>
      <c r="AY114" s="62"/>
      <c r="AZ114" s="62"/>
      <c r="BA114" s="62"/>
      <c r="BB114" s="62"/>
      <c r="BC114" s="62"/>
      <c r="BD114" s="62"/>
      <c r="BE114" s="62"/>
      <c r="BF114" s="62"/>
      <c r="BG114" s="62"/>
      <c r="BH114" s="62"/>
      <c r="BI114" s="62"/>
      <c r="BJ114" s="62"/>
      <c r="BK114" s="62"/>
      <c r="BL114" s="62"/>
      <c r="BM114" s="62"/>
      <c r="BN114" s="62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62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62"/>
      <c r="AF115" s="62"/>
      <c r="AG115" s="62"/>
      <c r="AH115" s="62"/>
      <c r="AI115" s="62"/>
      <c r="AJ115" s="62"/>
      <c r="AK115" s="91"/>
      <c r="AL115" s="94"/>
      <c r="AM115" s="94"/>
      <c r="AN115" s="94"/>
      <c r="AO115" s="94"/>
      <c r="AP115" s="94"/>
      <c r="AQ115" s="94"/>
      <c r="AR115" s="94"/>
      <c r="AS115" s="94"/>
      <c r="AT115" s="94"/>
      <c r="AU115" s="94"/>
      <c r="AV115" s="96"/>
      <c r="AW115" s="45"/>
      <c r="AX115" s="62"/>
      <c r="AY115" s="62"/>
      <c r="AZ115" s="62"/>
      <c r="BA115" s="62"/>
      <c r="BB115" s="62"/>
      <c r="BC115" s="62"/>
      <c r="BD115" s="62"/>
      <c r="BE115" s="62"/>
      <c r="BF115" s="62"/>
      <c r="BG115" s="62"/>
      <c r="BH115" s="62"/>
      <c r="BI115" s="62"/>
      <c r="BJ115" s="62"/>
      <c r="BK115" s="62"/>
      <c r="BL115" s="62"/>
      <c r="BM115" s="62"/>
      <c r="BN115" s="62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62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62"/>
      <c r="AF116" s="62"/>
      <c r="AG116" s="62"/>
      <c r="AH116" s="62"/>
      <c r="AI116" s="62"/>
      <c r="AJ116" s="62"/>
      <c r="AK116" s="91"/>
      <c r="AL116" s="94"/>
      <c r="AM116" s="94"/>
      <c r="AN116" s="94"/>
      <c r="AO116" s="94"/>
      <c r="AP116" s="94"/>
      <c r="AQ116" s="94"/>
      <c r="AR116" s="94"/>
      <c r="AS116" s="94"/>
      <c r="AT116" s="94"/>
      <c r="AU116" s="94"/>
      <c r="AV116" s="96"/>
      <c r="AW116" s="45"/>
      <c r="AX116" s="62"/>
      <c r="AY116" s="62"/>
      <c r="AZ116" s="62"/>
      <c r="BA116" s="62"/>
      <c r="BB116" s="62"/>
      <c r="BC116" s="62"/>
      <c r="BD116" s="62"/>
      <c r="BE116" s="62"/>
      <c r="BF116" s="62"/>
      <c r="BG116" s="62"/>
      <c r="BH116" s="62"/>
      <c r="BI116" s="62"/>
      <c r="BJ116" s="62"/>
      <c r="BK116" s="62"/>
      <c r="BL116" s="62"/>
      <c r="BM116" s="62"/>
      <c r="BN116" s="62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62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62"/>
      <c r="AF117" s="62"/>
      <c r="AG117" s="62"/>
      <c r="AH117" s="62"/>
      <c r="AI117" s="62"/>
      <c r="AJ117" s="62"/>
      <c r="AK117" s="91"/>
      <c r="AL117" s="94"/>
      <c r="AM117" s="94"/>
      <c r="AN117" s="94"/>
      <c r="AO117" s="94"/>
      <c r="AP117" s="94"/>
      <c r="AQ117" s="94"/>
      <c r="AR117" s="94"/>
      <c r="AS117" s="94"/>
      <c r="AT117" s="94"/>
      <c r="AU117" s="94"/>
      <c r="AV117" s="96"/>
      <c r="AW117" s="45"/>
      <c r="AX117" s="62"/>
      <c r="AY117" s="62"/>
      <c r="AZ117" s="62"/>
      <c r="BA117" s="62"/>
      <c r="BB117" s="62"/>
      <c r="BC117" s="62"/>
      <c r="BD117" s="62"/>
      <c r="BE117" s="62"/>
      <c r="BF117" s="62"/>
      <c r="BG117" s="62"/>
      <c r="BH117" s="62"/>
      <c r="BI117" s="62"/>
      <c r="BJ117" s="62"/>
      <c r="BK117" s="62"/>
      <c r="BL117" s="62"/>
      <c r="BM117" s="62"/>
      <c r="BN117" s="62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62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62"/>
      <c r="AF118" s="62"/>
      <c r="AG118" s="62"/>
      <c r="AH118" s="62"/>
      <c r="AI118" s="62"/>
      <c r="AJ118" s="62"/>
      <c r="AK118" s="91"/>
      <c r="AL118" s="94"/>
      <c r="AM118" s="94"/>
      <c r="AN118" s="94"/>
      <c r="AO118" s="94"/>
      <c r="AP118" s="94"/>
      <c r="AQ118" s="94"/>
      <c r="AR118" s="94"/>
      <c r="AS118" s="94"/>
      <c r="AT118" s="94"/>
      <c r="AU118" s="94"/>
      <c r="AV118" s="96"/>
      <c r="AW118" s="45"/>
      <c r="AX118" s="62"/>
      <c r="AY118" s="62"/>
      <c r="AZ118" s="62"/>
      <c r="BA118" s="62"/>
      <c r="BB118" s="62"/>
      <c r="BC118" s="62"/>
      <c r="BD118" s="62"/>
      <c r="BE118" s="62"/>
      <c r="BF118" s="62"/>
      <c r="BG118" s="62"/>
      <c r="BH118" s="62"/>
      <c r="BI118" s="62"/>
      <c r="BJ118" s="62"/>
      <c r="BK118" s="62"/>
      <c r="BL118" s="62"/>
      <c r="BM118" s="62"/>
      <c r="BN118" s="62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62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62"/>
      <c r="AF119" s="62"/>
      <c r="AG119" s="62"/>
      <c r="AH119" s="62"/>
      <c r="AI119" s="62"/>
      <c r="AJ119" s="62"/>
      <c r="AK119" s="91"/>
      <c r="AL119" s="94"/>
      <c r="AM119" s="94"/>
      <c r="AN119" s="94"/>
      <c r="AO119" s="94"/>
      <c r="AP119" s="94"/>
      <c r="AQ119" s="94"/>
      <c r="AR119" s="94"/>
      <c r="AS119" s="94"/>
      <c r="AT119" s="94"/>
      <c r="AU119" s="94"/>
      <c r="AV119" s="96"/>
      <c r="AW119" s="45"/>
      <c r="AX119" s="62"/>
      <c r="AY119" s="62"/>
      <c r="AZ119" s="62"/>
      <c r="BA119" s="62"/>
      <c r="BB119" s="62"/>
      <c r="BC119" s="62"/>
      <c r="BD119" s="62"/>
      <c r="BE119" s="62"/>
      <c r="BF119" s="62"/>
      <c r="BG119" s="62"/>
      <c r="BH119" s="62"/>
      <c r="BI119" s="62"/>
      <c r="BJ119" s="62"/>
      <c r="BK119" s="62"/>
      <c r="BL119" s="62"/>
      <c r="BM119" s="62"/>
      <c r="BN119" s="62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62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62"/>
      <c r="AF120" s="62"/>
      <c r="AG120" s="62"/>
      <c r="AH120" s="62"/>
      <c r="AI120" s="62"/>
      <c r="AJ120" s="62"/>
      <c r="AK120" s="91"/>
      <c r="AL120" s="94"/>
      <c r="AM120" s="94"/>
      <c r="AN120" s="94"/>
      <c r="AO120" s="94"/>
      <c r="AP120" s="94"/>
      <c r="AQ120" s="94"/>
      <c r="AR120" s="94"/>
      <c r="AS120" s="94"/>
      <c r="AT120" s="94"/>
      <c r="AU120" s="94"/>
      <c r="AV120" s="96"/>
      <c r="AW120" s="45"/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2"/>
      <c r="BJ120" s="62"/>
      <c r="BK120" s="62"/>
      <c r="BL120" s="62"/>
      <c r="BM120" s="62"/>
      <c r="BN120" s="62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62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62"/>
      <c r="AF121" s="62"/>
      <c r="AG121" s="62"/>
      <c r="AH121" s="62"/>
      <c r="AI121" s="62"/>
      <c r="AJ121" s="62"/>
      <c r="AK121" s="91"/>
      <c r="AL121" s="94"/>
      <c r="AM121" s="94"/>
      <c r="AN121" s="94"/>
      <c r="AO121" s="94"/>
      <c r="AP121" s="94"/>
      <c r="AQ121" s="94"/>
      <c r="AR121" s="94"/>
      <c r="AS121" s="94"/>
      <c r="AT121" s="94"/>
      <c r="AU121" s="94"/>
      <c r="AV121" s="96"/>
      <c r="AW121" s="45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2"/>
      <c r="BJ121" s="62"/>
      <c r="BK121" s="62"/>
      <c r="BL121" s="62"/>
      <c r="BM121" s="62"/>
      <c r="BN121" s="62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62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62"/>
      <c r="AF122" s="62"/>
      <c r="AG122" s="62"/>
      <c r="AH122" s="62"/>
      <c r="AI122" s="62"/>
      <c r="AJ122" s="62"/>
      <c r="AK122" s="91"/>
      <c r="AL122" s="94"/>
      <c r="AM122" s="94"/>
      <c r="AN122" s="94"/>
      <c r="AO122" s="94"/>
      <c r="AP122" s="94"/>
      <c r="AQ122" s="94"/>
      <c r="AR122" s="94"/>
      <c r="AS122" s="94"/>
      <c r="AT122" s="94"/>
      <c r="AU122" s="94"/>
      <c r="AV122" s="96"/>
      <c r="AW122" s="45"/>
      <c r="AX122" s="62"/>
      <c r="AY122" s="62"/>
      <c r="AZ122" s="62"/>
      <c r="BA122" s="62"/>
      <c r="BB122" s="62"/>
      <c r="BC122" s="62"/>
      <c r="BD122" s="62"/>
      <c r="BE122" s="62"/>
      <c r="BF122" s="62"/>
      <c r="BG122" s="62"/>
      <c r="BH122" s="62"/>
      <c r="BI122" s="62"/>
      <c r="BJ122" s="62"/>
      <c r="BK122" s="62"/>
      <c r="BL122" s="62"/>
      <c r="BM122" s="62"/>
      <c r="BN122" s="62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62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62"/>
      <c r="AF123" s="62"/>
      <c r="AG123" s="62"/>
      <c r="AH123" s="62"/>
      <c r="AI123" s="62"/>
      <c r="AJ123" s="62"/>
      <c r="AK123" s="91"/>
      <c r="AL123" s="94"/>
      <c r="AM123" s="94"/>
      <c r="AN123" s="94"/>
      <c r="AO123" s="94"/>
      <c r="AP123" s="94"/>
      <c r="AQ123" s="94"/>
      <c r="AR123" s="94"/>
      <c r="AS123" s="94"/>
      <c r="AT123" s="94"/>
      <c r="AU123" s="94"/>
      <c r="AV123" s="96"/>
      <c r="AW123" s="45"/>
      <c r="AX123" s="62"/>
      <c r="AY123" s="62"/>
      <c r="AZ123" s="62"/>
      <c r="BA123" s="62"/>
      <c r="BB123" s="62"/>
      <c r="BC123" s="62"/>
      <c r="BD123" s="62"/>
      <c r="BE123" s="62"/>
      <c r="BF123" s="62"/>
      <c r="BG123" s="62"/>
      <c r="BH123" s="62"/>
      <c r="BI123" s="62"/>
      <c r="BJ123" s="62"/>
      <c r="BK123" s="62"/>
      <c r="BL123" s="62"/>
      <c r="BM123" s="62"/>
      <c r="BN123" s="62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62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62"/>
      <c r="AF124" s="62"/>
      <c r="AG124" s="62"/>
      <c r="AH124" s="62"/>
      <c r="AI124" s="62"/>
      <c r="AJ124" s="62"/>
      <c r="AK124" s="91"/>
      <c r="AL124" s="92"/>
      <c r="AM124" s="92"/>
      <c r="AN124" s="92"/>
      <c r="AO124" s="92"/>
      <c r="AP124" s="92"/>
      <c r="AQ124" s="92"/>
      <c r="AR124" s="92"/>
      <c r="AS124" s="92"/>
      <c r="AT124" s="92"/>
      <c r="AU124" s="92"/>
      <c r="AV124" s="92"/>
      <c r="AW124" s="9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62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62"/>
      <c r="AF125" s="62"/>
      <c r="AG125" s="62"/>
      <c r="AH125" s="62"/>
      <c r="AI125" s="62"/>
      <c r="AJ125" s="62"/>
      <c r="AK125" s="91"/>
      <c r="AL125" s="73"/>
      <c r="AM125" s="73"/>
      <c r="AN125" s="73"/>
      <c r="AO125" s="73"/>
      <c r="AP125" s="73"/>
      <c r="AQ125" s="73"/>
      <c r="AR125" s="73"/>
      <c r="AS125" s="73"/>
      <c r="AT125" s="73"/>
      <c r="AU125" s="73"/>
      <c r="AV125" s="73"/>
      <c r="AW125" s="90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62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62"/>
      <c r="AF126" s="62"/>
      <c r="AG126" s="62"/>
      <c r="AH126" s="62"/>
      <c r="AI126" s="62"/>
      <c r="AJ126" s="62"/>
      <c r="AK126" s="91"/>
      <c r="AL126" s="73"/>
      <c r="AM126" s="73"/>
      <c r="AN126" s="73"/>
      <c r="AO126" s="73"/>
      <c r="AP126" s="73"/>
      <c r="AQ126" s="73"/>
      <c r="AR126" s="73"/>
      <c r="AS126" s="73"/>
      <c r="AT126" s="73"/>
      <c r="AU126" s="73"/>
      <c r="AV126" s="99"/>
      <c r="AW126" s="90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62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62"/>
      <c r="AF127" s="62"/>
      <c r="AG127" s="62"/>
      <c r="AH127" s="62"/>
      <c r="AI127" s="62"/>
      <c r="AJ127" s="62"/>
      <c r="AK127" s="91"/>
      <c r="AL127" s="73"/>
      <c r="AM127" s="73"/>
      <c r="AN127" s="73"/>
      <c r="AO127" s="73"/>
      <c r="AP127" s="73"/>
      <c r="AQ127" s="73"/>
      <c r="AR127" s="73"/>
      <c r="AS127" s="73"/>
      <c r="AT127" s="73"/>
      <c r="AU127" s="73"/>
      <c r="AV127" s="99"/>
      <c r="AW127" s="90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62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62"/>
      <c r="AF128" s="62"/>
      <c r="AG128" s="62"/>
      <c r="AH128" s="62"/>
      <c r="AI128" s="62"/>
      <c r="AJ128" s="62"/>
      <c r="AK128" s="91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101"/>
      <c r="AW128" s="27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62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62"/>
      <c r="AF129" s="62"/>
      <c r="AG129" s="62"/>
      <c r="AH129" s="62"/>
      <c r="AI129" s="62"/>
      <c r="AJ129" s="62"/>
      <c r="AK129" s="91"/>
      <c r="AL129" s="94"/>
      <c r="AM129" s="94"/>
      <c r="AN129" s="94"/>
      <c r="AO129" s="94"/>
      <c r="AP129" s="94"/>
      <c r="AQ129" s="94"/>
      <c r="AR129" s="94"/>
      <c r="AS129" s="94"/>
      <c r="AT129" s="94"/>
      <c r="AU129" s="94"/>
      <c r="AV129" s="96"/>
      <c r="AW129" s="45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62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62"/>
      <c r="AF130" s="62"/>
      <c r="AG130" s="62"/>
      <c r="AH130" s="62"/>
      <c r="AI130" s="62"/>
      <c r="AJ130" s="62"/>
      <c r="AK130" s="91"/>
      <c r="AL130" s="94"/>
      <c r="AM130" s="94"/>
      <c r="AN130" s="94"/>
      <c r="AO130" s="94"/>
      <c r="AP130" s="94"/>
      <c r="AQ130" s="94"/>
      <c r="AR130" s="94"/>
      <c r="AS130" s="94"/>
      <c r="AT130" s="94"/>
      <c r="AU130" s="94"/>
      <c r="AV130" s="96"/>
      <c r="AW130" s="45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62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62"/>
      <c r="AF131" s="62"/>
      <c r="AG131" s="62"/>
      <c r="AH131" s="62"/>
      <c r="AI131" s="62"/>
      <c r="AJ131" s="62"/>
      <c r="AK131" s="91"/>
      <c r="AL131" s="94"/>
      <c r="AM131" s="94"/>
      <c r="AN131" s="94"/>
      <c r="AO131" s="94"/>
      <c r="AP131" s="94"/>
      <c r="AQ131" s="94"/>
      <c r="AR131" s="94"/>
      <c r="AS131" s="94"/>
      <c r="AT131" s="94"/>
      <c r="AU131" s="94"/>
      <c r="AV131" s="96"/>
      <c r="AW131" s="45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62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62"/>
      <c r="AF132" s="62"/>
      <c r="AG132" s="62"/>
      <c r="AH132" s="62"/>
      <c r="AI132" s="62"/>
      <c r="AJ132" s="62"/>
      <c r="AK132" s="91"/>
      <c r="AL132" s="94"/>
      <c r="AM132" s="94"/>
      <c r="AN132" s="94"/>
      <c r="AO132" s="94"/>
      <c r="AP132" s="94"/>
      <c r="AQ132" s="94"/>
      <c r="AR132" s="94"/>
      <c r="AS132" s="94"/>
      <c r="AT132" s="94"/>
      <c r="AU132" s="94"/>
      <c r="AV132" s="96"/>
      <c r="AW132" s="45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62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62"/>
      <c r="AF133" s="62"/>
      <c r="AG133" s="62"/>
      <c r="AH133" s="62"/>
      <c r="AI133" s="62"/>
      <c r="AJ133" s="62"/>
      <c r="AK133" s="91"/>
      <c r="AL133" s="94"/>
      <c r="AM133" s="94"/>
      <c r="AN133" s="94"/>
      <c r="AO133" s="94"/>
      <c r="AP133" s="94"/>
      <c r="AQ133" s="94"/>
      <c r="AR133" s="94"/>
      <c r="AS133" s="94"/>
      <c r="AT133" s="94"/>
      <c r="AU133" s="94"/>
      <c r="AV133" s="96"/>
      <c r="AW133" s="45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62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62"/>
      <c r="AF134" s="62"/>
      <c r="AG134" s="62"/>
      <c r="AH134" s="62"/>
      <c r="AI134" s="62"/>
      <c r="AJ134" s="62"/>
      <c r="AK134" s="91"/>
      <c r="AL134" s="94"/>
      <c r="AM134" s="94"/>
      <c r="AN134" s="94"/>
      <c r="AO134" s="94"/>
      <c r="AP134" s="94"/>
      <c r="AQ134" s="94"/>
      <c r="AR134" s="94"/>
      <c r="AS134" s="94"/>
      <c r="AT134" s="94"/>
      <c r="AU134" s="94"/>
      <c r="AV134" s="96"/>
      <c r="AW134" s="45"/>
      <c r="AX134" s="62"/>
      <c r="AY134" s="62"/>
      <c r="AZ134" s="62"/>
      <c r="BA134" s="62"/>
      <c r="BB134" s="62"/>
      <c r="BC134" s="62"/>
      <c r="BD134" s="62"/>
      <c r="BE134" s="62"/>
      <c r="BF134" s="62"/>
      <c r="BG134" s="62"/>
      <c r="BH134" s="62"/>
      <c r="BI134" s="62"/>
      <c r="BJ134" s="62"/>
      <c r="BK134" s="62"/>
      <c r="BL134" s="62"/>
      <c r="BM134" s="62"/>
      <c r="BN134" s="62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62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62"/>
      <c r="AF135" s="62"/>
      <c r="AG135" s="62"/>
      <c r="AH135" s="62"/>
      <c r="AI135" s="62"/>
      <c r="AJ135" s="62"/>
      <c r="AK135" s="91"/>
      <c r="AL135" s="94"/>
      <c r="AM135" s="94"/>
      <c r="AN135" s="94"/>
      <c r="AO135" s="94"/>
      <c r="AP135" s="94"/>
      <c r="AQ135" s="94"/>
      <c r="AR135" s="94"/>
      <c r="AS135" s="94"/>
      <c r="AT135" s="94"/>
      <c r="AU135" s="94"/>
      <c r="AV135" s="96"/>
      <c r="AW135" s="45"/>
      <c r="AX135" s="62"/>
      <c r="AY135" s="62"/>
      <c r="AZ135" s="62"/>
      <c r="BA135" s="62"/>
      <c r="BB135" s="62"/>
      <c r="BC135" s="62"/>
      <c r="BD135" s="62"/>
      <c r="BE135" s="62"/>
      <c r="BF135" s="62"/>
      <c r="BG135" s="62"/>
      <c r="BH135" s="62"/>
      <c r="BI135" s="62"/>
      <c r="BJ135" s="62"/>
      <c r="BK135" s="62"/>
      <c r="BL135" s="62"/>
      <c r="BM135" s="62"/>
      <c r="BN135" s="62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62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62"/>
      <c r="AF136" s="62"/>
      <c r="AG136" s="62"/>
      <c r="AH136" s="62"/>
      <c r="AI136" s="62"/>
      <c r="AJ136" s="62"/>
      <c r="AK136" s="91"/>
      <c r="AL136" s="94"/>
      <c r="AM136" s="94"/>
      <c r="AN136" s="94"/>
      <c r="AO136" s="94"/>
      <c r="AP136" s="94"/>
      <c r="AQ136" s="94"/>
      <c r="AR136" s="94"/>
      <c r="AS136" s="94"/>
      <c r="AT136" s="94"/>
      <c r="AU136" s="94"/>
      <c r="AV136" s="96"/>
      <c r="AW136" s="45"/>
      <c r="AX136" s="62"/>
      <c r="AY136" s="62"/>
      <c r="AZ136" s="62"/>
      <c r="BA136" s="62"/>
      <c r="BB136" s="62"/>
      <c r="BC136" s="62"/>
      <c r="BD136" s="62"/>
      <c r="BE136" s="62"/>
      <c r="BF136" s="62"/>
      <c r="BG136" s="62"/>
      <c r="BH136" s="62"/>
      <c r="BI136" s="62"/>
      <c r="BJ136" s="62"/>
      <c r="BK136" s="62"/>
      <c r="BL136" s="62"/>
      <c r="BM136" s="62"/>
      <c r="BN136" s="62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62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62"/>
      <c r="AF137" s="62"/>
      <c r="AG137" s="62"/>
      <c r="AH137" s="62"/>
      <c r="AI137" s="62"/>
      <c r="AJ137" s="62"/>
      <c r="AK137" s="91"/>
      <c r="AL137" s="92"/>
      <c r="AM137" s="92"/>
      <c r="AN137" s="92"/>
      <c r="AO137" s="92"/>
      <c r="AP137" s="92"/>
      <c r="AQ137" s="92"/>
      <c r="AR137" s="92"/>
      <c r="AS137" s="92"/>
      <c r="AT137" s="92"/>
      <c r="AU137" s="92"/>
      <c r="AV137" s="92"/>
      <c r="AW137" s="92"/>
      <c r="AX137" s="62"/>
      <c r="AY137" s="62"/>
      <c r="AZ137" s="62"/>
      <c r="BA137" s="62"/>
      <c r="BB137" s="62"/>
      <c r="BC137" s="62"/>
      <c r="BD137" s="62"/>
      <c r="BE137" s="62"/>
      <c r="BF137" s="62"/>
      <c r="BG137" s="62"/>
      <c r="BH137" s="62"/>
      <c r="BI137" s="62"/>
      <c r="BJ137" s="62"/>
      <c r="BK137" s="62"/>
      <c r="BL137" s="62"/>
      <c r="BM137" s="62"/>
      <c r="BN137" s="62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62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62"/>
      <c r="AF138" s="62"/>
      <c r="AG138" s="62"/>
      <c r="AH138" s="62"/>
      <c r="AI138" s="62"/>
      <c r="AJ138" s="62"/>
      <c r="AK138" s="91"/>
      <c r="AL138" s="45"/>
      <c r="AM138" s="45"/>
      <c r="AN138" s="45"/>
      <c r="AO138" s="45"/>
      <c r="AP138" s="45"/>
      <c r="AQ138" s="45"/>
      <c r="AR138" s="45"/>
      <c r="AS138" s="45"/>
      <c r="AT138" s="45"/>
      <c r="AU138" s="45"/>
      <c r="AV138" s="45"/>
      <c r="AW138" s="45"/>
      <c r="AX138" s="62"/>
      <c r="AY138" s="62"/>
      <c r="AZ138" s="62"/>
      <c r="BA138" s="62"/>
      <c r="BB138" s="62"/>
      <c r="BC138" s="62"/>
      <c r="BD138" s="62"/>
      <c r="BE138" s="62"/>
      <c r="BF138" s="62"/>
      <c r="BG138" s="62"/>
      <c r="BH138" s="62"/>
      <c r="BI138" s="62"/>
      <c r="BJ138" s="62"/>
      <c r="BK138" s="62"/>
      <c r="BL138" s="62"/>
      <c r="BM138" s="62"/>
      <c r="BN138" s="62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62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62"/>
      <c r="AF139" s="62"/>
      <c r="AG139" s="62"/>
      <c r="AH139" s="62"/>
      <c r="AI139" s="62"/>
      <c r="AJ139" s="62"/>
      <c r="AK139" s="91"/>
      <c r="AL139" s="45"/>
      <c r="AM139" s="45"/>
      <c r="AN139" s="45"/>
      <c r="AO139" s="45"/>
      <c r="AP139" s="45"/>
      <c r="AQ139" s="45"/>
      <c r="AR139" s="45"/>
      <c r="AS139" s="45"/>
      <c r="AT139" s="45"/>
      <c r="AU139" s="45"/>
      <c r="AV139" s="45"/>
      <c r="AW139" s="45"/>
      <c r="AX139" s="62"/>
      <c r="AY139" s="62"/>
      <c r="AZ139" s="62"/>
      <c r="BA139" s="62"/>
      <c r="BB139" s="62"/>
      <c r="BC139" s="62"/>
      <c r="BD139" s="62"/>
      <c r="BE139" s="62"/>
      <c r="BF139" s="62"/>
      <c r="BG139" s="62"/>
      <c r="BH139" s="62"/>
      <c r="BI139" s="62"/>
      <c r="BJ139" s="62"/>
      <c r="BK139" s="62"/>
      <c r="BL139" s="62"/>
      <c r="BM139" s="62"/>
      <c r="BN139" s="62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62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62"/>
      <c r="AF140" s="62"/>
      <c r="AG140" s="62"/>
      <c r="AH140" s="62"/>
      <c r="AI140" s="62"/>
      <c r="AJ140" s="62"/>
      <c r="AK140" s="91"/>
      <c r="AL140" s="79"/>
      <c r="AM140" s="79"/>
      <c r="AN140" s="79"/>
      <c r="AO140" s="79"/>
      <c r="AP140" s="79"/>
      <c r="AQ140" s="79"/>
      <c r="AR140" s="79"/>
      <c r="AS140" s="79"/>
      <c r="AT140" s="94"/>
      <c r="AU140" s="79"/>
      <c r="AV140" s="79"/>
      <c r="AW140" s="45"/>
      <c r="AX140" s="62"/>
      <c r="AY140" s="62"/>
      <c r="AZ140" s="62"/>
      <c r="BA140" s="62"/>
      <c r="BB140" s="62"/>
      <c r="BC140" s="62"/>
      <c r="BD140" s="62"/>
      <c r="BE140" s="62"/>
      <c r="BF140" s="62"/>
      <c r="BG140" s="62"/>
      <c r="BH140" s="62"/>
      <c r="BI140" s="62"/>
      <c r="BJ140" s="62"/>
      <c r="BK140" s="62"/>
      <c r="BL140" s="62"/>
      <c r="BM140" s="62"/>
      <c r="BN140" s="62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62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62"/>
      <c r="AF141" s="62"/>
      <c r="AG141" s="62"/>
      <c r="AH141" s="62"/>
      <c r="AI141" s="62"/>
      <c r="AJ141" s="62"/>
      <c r="AK141" s="91"/>
      <c r="AL141" s="62"/>
      <c r="AM141" s="62"/>
      <c r="AN141" s="62"/>
      <c r="AO141" s="62"/>
      <c r="AP141" s="62"/>
      <c r="AQ141" s="62"/>
      <c r="AR141" s="62"/>
      <c r="AS141" s="62"/>
      <c r="AT141" s="94"/>
      <c r="AU141" s="62"/>
      <c r="AV141" s="62"/>
      <c r="AW141" s="45"/>
      <c r="AX141" s="62"/>
      <c r="AY141" s="62"/>
      <c r="AZ141" s="62"/>
      <c r="BA141" s="62"/>
      <c r="BB141" s="62"/>
      <c r="BC141" s="62"/>
      <c r="BD141" s="62"/>
      <c r="BE141" s="62"/>
      <c r="BF141" s="62"/>
      <c r="BG141" s="62"/>
      <c r="BH141" s="62"/>
      <c r="BI141" s="62"/>
      <c r="BJ141" s="62"/>
      <c r="BK141" s="62"/>
      <c r="BL141" s="62"/>
      <c r="BM141" s="62"/>
      <c r="BN141" s="62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62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62"/>
      <c r="AF142" s="62"/>
      <c r="AG142" s="62"/>
      <c r="AH142" s="62"/>
      <c r="AI142" s="62"/>
      <c r="AJ142" s="62"/>
      <c r="AK142" s="91"/>
      <c r="AL142" s="62"/>
      <c r="AM142" s="62"/>
      <c r="AN142" s="62"/>
      <c r="AO142" s="62"/>
      <c r="AP142" s="62"/>
      <c r="AQ142" s="62"/>
      <c r="AR142" s="62"/>
      <c r="AS142" s="62"/>
      <c r="AT142" s="94"/>
      <c r="AU142" s="62"/>
      <c r="AV142" s="62"/>
      <c r="AW142" s="45"/>
      <c r="AX142" s="62"/>
      <c r="AY142" s="62"/>
      <c r="AZ142" s="62"/>
      <c r="BA142" s="62"/>
      <c r="BB142" s="62"/>
      <c r="BC142" s="62"/>
      <c r="BD142" s="62"/>
      <c r="BE142" s="62"/>
      <c r="BF142" s="62"/>
      <c r="BG142" s="62"/>
      <c r="BH142" s="62"/>
      <c r="BI142" s="62"/>
      <c r="BJ142" s="62"/>
      <c r="BK142" s="62"/>
      <c r="BL142" s="62"/>
      <c r="BM142" s="62"/>
      <c r="BN142" s="62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62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62"/>
      <c r="AF143" s="62"/>
      <c r="AG143" s="62"/>
      <c r="AH143" s="62"/>
      <c r="AI143" s="62"/>
      <c r="AJ143" s="62"/>
      <c r="AK143" s="91"/>
      <c r="AL143" s="62"/>
      <c r="AM143" s="62"/>
      <c r="AN143" s="62"/>
      <c r="AO143" s="62"/>
      <c r="AP143" s="62"/>
      <c r="AQ143" s="62"/>
      <c r="AR143" s="62"/>
      <c r="AS143" s="62"/>
      <c r="AT143" s="94"/>
      <c r="AU143" s="62"/>
      <c r="AV143" s="62"/>
      <c r="AW143" s="45"/>
      <c r="AX143" s="62"/>
      <c r="AY143" s="62"/>
      <c r="AZ143" s="62"/>
      <c r="BA143" s="62"/>
      <c r="BB143" s="62"/>
      <c r="BC143" s="62"/>
      <c r="BD143" s="62"/>
      <c r="BE143" s="62"/>
      <c r="BF143" s="62"/>
      <c r="BG143" s="62"/>
      <c r="BH143" s="62"/>
      <c r="BI143" s="62"/>
      <c r="BJ143" s="62"/>
      <c r="BK143" s="62"/>
      <c r="BL143" s="62"/>
      <c r="BM143" s="62"/>
      <c r="BN143" s="62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62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62"/>
      <c r="AF144" s="62"/>
      <c r="AG144" s="62"/>
      <c r="AH144" s="62"/>
      <c r="AI144" s="62"/>
      <c r="AJ144" s="62"/>
      <c r="AK144" s="91"/>
      <c r="AL144" s="62"/>
      <c r="AM144" s="62"/>
      <c r="AN144" s="62"/>
      <c r="AO144" s="62"/>
      <c r="AP144" s="62"/>
      <c r="AQ144" s="62"/>
      <c r="AR144" s="62"/>
      <c r="AS144" s="62"/>
      <c r="AT144" s="94"/>
      <c r="AU144" s="62"/>
      <c r="AV144" s="62"/>
      <c r="AW144" s="45"/>
      <c r="AX144" s="62"/>
      <c r="AY144" s="62"/>
      <c r="AZ144" s="62"/>
      <c r="BA144" s="62"/>
      <c r="BB144" s="62"/>
      <c r="BC144" s="62"/>
      <c r="BD144" s="62"/>
      <c r="BE144" s="62"/>
      <c r="BF144" s="62"/>
      <c r="BG144" s="62"/>
      <c r="BH144" s="62"/>
      <c r="BI144" s="62"/>
      <c r="BJ144" s="62"/>
      <c r="BK144" s="62"/>
      <c r="BL144" s="62"/>
      <c r="BM144" s="62"/>
      <c r="BN144" s="62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62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62"/>
      <c r="AF145" s="62"/>
      <c r="AG145" s="62"/>
      <c r="AH145" s="62"/>
      <c r="AI145" s="62"/>
      <c r="AJ145" s="62"/>
      <c r="AK145" s="91"/>
      <c r="AL145" s="62"/>
      <c r="AM145" s="62"/>
      <c r="AN145" s="62"/>
      <c r="AO145" s="62"/>
      <c r="AP145" s="62"/>
      <c r="AQ145" s="62"/>
      <c r="AR145" s="62"/>
      <c r="AS145" s="62"/>
      <c r="AT145" s="94"/>
      <c r="AU145" s="62"/>
      <c r="AV145" s="62"/>
      <c r="AW145" s="45"/>
      <c r="AX145" s="62"/>
      <c r="AY145" s="62"/>
      <c r="AZ145" s="62"/>
      <c r="BA145" s="62"/>
      <c r="BB145" s="62"/>
      <c r="BC145" s="62"/>
      <c r="BD145" s="62"/>
      <c r="BE145" s="62"/>
      <c r="BF145" s="62"/>
      <c r="BG145" s="62"/>
      <c r="BH145" s="62"/>
      <c r="BI145" s="62"/>
      <c r="BJ145" s="62"/>
      <c r="BK145" s="62"/>
      <c r="BL145" s="62"/>
      <c r="BM145" s="62"/>
      <c r="BN145" s="62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62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62"/>
      <c r="AF146" s="62"/>
      <c r="AG146" s="62"/>
      <c r="AH146" s="62"/>
      <c r="AI146" s="62"/>
      <c r="AJ146" s="62"/>
      <c r="AK146" s="91"/>
      <c r="AL146" s="62"/>
      <c r="AM146" s="62"/>
      <c r="AN146" s="62"/>
      <c r="AO146" s="62"/>
      <c r="AP146" s="62"/>
      <c r="AQ146" s="62"/>
      <c r="AR146" s="62"/>
      <c r="AS146" s="62"/>
      <c r="AT146" s="94"/>
      <c r="AU146" s="62"/>
      <c r="AV146" s="62"/>
      <c r="AW146" s="45"/>
      <c r="AX146" s="62"/>
      <c r="AY146" s="62"/>
      <c r="AZ146" s="62"/>
      <c r="BA146" s="62"/>
      <c r="BB146" s="62"/>
      <c r="BC146" s="62"/>
      <c r="BD146" s="62"/>
      <c r="BE146" s="62"/>
      <c r="BF146" s="62"/>
      <c r="BG146" s="62"/>
      <c r="BH146" s="62"/>
      <c r="BI146" s="62"/>
      <c r="BJ146" s="62"/>
      <c r="BK146" s="62"/>
      <c r="BL146" s="62"/>
      <c r="BM146" s="62"/>
      <c r="BN146" s="62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62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62"/>
      <c r="AF147" s="62"/>
      <c r="AG147" s="62"/>
      <c r="AH147" s="62"/>
      <c r="AI147" s="62"/>
      <c r="AJ147" s="62"/>
      <c r="AK147" s="91"/>
      <c r="AL147" s="62"/>
      <c r="AM147" s="62"/>
      <c r="AN147" s="62"/>
      <c r="AO147" s="62"/>
      <c r="AP147" s="62"/>
      <c r="AQ147" s="62"/>
      <c r="AR147" s="62"/>
      <c r="AS147" s="62"/>
      <c r="AT147" s="94"/>
      <c r="AU147" s="62"/>
      <c r="AV147" s="62"/>
      <c r="AW147" s="45"/>
      <c r="AX147" s="62"/>
      <c r="AY147" s="62"/>
      <c r="AZ147" s="62"/>
      <c r="BA147" s="62"/>
      <c r="BB147" s="62"/>
      <c r="BC147" s="62"/>
      <c r="BD147" s="62"/>
      <c r="BE147" s="62"/>
      <c r="BF147" s="62"/>
      <c r="BG147" s="62"/>
      <c r="BH147" s="62"/>
      <c r="BI147" s="62"/>
      <c r="BJ147" s="62"/>
      <c r="BK147" s="62"/>
      <c r="BL147" s="62"/>
      <c r="BM147" s="62"/>
      <c r="BN147" s="62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62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62"/>
      <c r="AF148" s="62"/>
      <c r="AG148" s="62"/>
      <c r="AH148" s="62"/>
      <c r="AI148" s="62"/>
      <c r="AJ148" s="62"/>
      <c r="AK148" s="91"/>
      <c r="AL148" s="62"/>
      <c r="AM148" s="62"/>
      <c r="AN148" s="62"/>
      <c r="AO148" s="62"/>
      <c r="AP148" s="62"/>
      <c r="AQ148" s="62"/>
      <c r="AR148" s="62"/>
      <c r="AS148" s="62"/>
      <c r="AT148" s="94"/>
      <c r="AU148" s="62"/>
      <c r="AV148" s="62"/>
      <c r="AW148" s="45"/>
      <c r="AX148" s="62"/>
      <c r="AY148" s="62"/>
      <c r="AZ148" s="62"/>
      <c r="BA148" s="62"/>
      <c r="BB148" s="62"/>
      <c r="BC148" s="62"/>
      <c r="BD148" s="62"/>
      <c r="BE148" s="62"/>
      <c r="BF148" s="62"/>
      <c r="BG148" s="62"/>
      <c r="BH148" s="62"/>
      <c r="BI148" s="62"/>
      <c r="BJ148" s="62"/>
      <c r="BK148" s="62"/>
      <c r="BL148" s="62"/>
      <c r="BM148" s="62"/>
      <c r="BN148" s="62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62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62"/>
      <c r="AF149" s="62"/>
      <c r="AG149" s="62"/>
      <c r="AH149" s="62"/>
      <c r="AI149" s="62"/>
      <c r="AJ149" s="62"/>
      <c r="AK149" s="91"/>
      <c r="AL149" s="62"/>
      <c r="AM149" s="62"/>
      <c r="AN149" s="62"/>
      <c r="AO149" s="62"/>
      <c r="AP149" s="62"/>
      <c r="AQ149" s="62"/>
      <c r="AR149" s="62"/>
      <c r="AS149" s="62"/>
      <c r="AT149" s="94"/>
      <c r="AU149" s="62"/>
      <c r="AV149" s="62"/>
      <c r="AW149" s="45"/>
      <c r="AX149" s="62"/>
      <c r="AY149" s="62"/>
      <c r="AZ149" s="62"/>
      <c r="BA149" s="62"/>
      <c r="BB149" s="62"/>
      <c r="BC149" s="62"/>
      <c r="BD149" s="62"/>
      <c r="BE149" s="62"/>
      <c r="BF149" s="62"/>
      <c r="BG149" s="62"/>
      <c r="BH149" s="62"/>
      <c r="BI149" s="62"/>
      <c r="BJ149" s="62"/>
      <c r="BK149" s="62"/>
      <c r="BL149" s="62"/>
      <c r="BM149" s="62"/>
      <c r="BN149" s="62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62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62"/>
      <c r="AF150" s="62"/>
      <c r="AG150" s="62"/>
      <c r="AH150" s="62"/>
      <c r="AI150" s="62"/>
      <c r="AJ150" s="62"/>
      <c r="AK150" s="62"/>
      <c r="AL150" s="62"/>
      <c r="AM150" s="62"/>
      <c r="AN150" s="62"/>
      <c r="AO150" s="62"/>
      <c r="AP150" s="62"/>
      <c r="AQ150" s="62"/>
      <c r="AR150" s="62"/>
      <c r="AS150" s="62"/>
      <c r="AT150" s="62"/>
      <c r="AU150" s="62"/>
      <c r="AV150" s="62"/>
      <c r="AW150" s="62"/>
      <c r="AX150" s="62"/>
      <c r="AY150" s="62"/>
      <c r="AZ150" s="62"/>
      <c r="BA150" s="62"/>
      <c r="BB150" s="62"/>
      <c r="BC150" s="62"/>
      <c r="BD150" s="62"/>
      <c r="BE150" s="62"/>
      <c r="BF150" s="62"/>
      <c r="BG150" s="62"/>
      <c r="BH150" s="62"/>
      <c r="BI150" s="62"/>
      <c r="BJ150" s="62"/>
      <c r="BK150" s="62"/>
      <c r="BL150" s="62"/>
      <c r="BM150" s="62"/>
      <c r="BN150" s="62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62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62"/>
      <c r="AF151" s="62"/>
      <c r="AG151" s="62"/>
      <c r="AH151" s="62"/>
      <c r="AI151" s="62"/>
      <c r="AJ151" s="62"/>
      <c r="AK151" s="62"/>
      <c r="AL151" s="62"/>
      <c r="AM151" s="62"/>
      <c r="AN151" s="62"/>
      <c r="AO151" s="62"/>
      <c r="AP151" s="62"/>
      <c r="AQ151" s="62"/>
      <c r="AR151" s="62"/>
      <c r="AS151" s="62"/>
      <c r="AT151" s="62"/>
      <c r="AU151" s="62"/>
      <c r="AV151" s="62"/>
      <c r="AW151" s="62"/>
      <c r="AX151" s="62"/>
      <c r="AY151" s="62"/>
      <c r="AZ151" s="62"/>
      <c r="BA151" s="62"/>
      <c r="BB151" s="62"/>
      <c r="BC151" s="62"/>
      <c r="BD151" s="62"/>
      <c r="BE151" s="62"/>
      <c r="BF151" s="62"/>
      <c r="BG151" s="62"/>
      <c r="BH151" s="62"/>
      <c r="BI151" s="62"/>
      <c r="BJ151" s="62"/>
      <c r="BK151" s="62"/>
      <c r="BL151" s="62"/>
      <c r="BM151" s="62"/>
      <c r="BN151" s="62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62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62"/>
      <c r="AF152" s="62"/>
      <c r="AG152" s="62"/>
      <c r="AH152" s="62"/>
      <c r="AI152" s="62"/>
      <c r="AJ152" s="62"/>
      <c r="AK152" s="62"/>
      <c r="AL152" s="62"/>
      <c r="AM152" s="62"/>
      <c r="AN152" s="62"/>
      <c r="AO152" s="62"/>
      <c r="AP152" s="62"/>
      <c r="AQ152" s="62"/>
      <c r="AR152" s="62"/>
      <c r="AS152" s="62"/>
      <c r="AT152" s="62"/>
      <c r="AU152" s="62"/>
      <c r="AV152" s="62"/>
      <c r="AW152" s="62"/>
      <c r="AX152" s="62"/>
      <c r="AY152" s="62"/>
      <c r="AZ152" s="62"/>
      <c r="BA152" s="62"/>
      <c r="BB152" s="62"/>
      <c r="BC152" s="62"/>
      <c r="BD152" s="62"/>
      <c r="BE152" s="62"/>
      <c r="BF152" s="62"/>
      <c r="BG152" s="62"/>
      <c r="BH152" s="62"/>
      <c r="BI152" s="62"/>
      <c r="BJ152" s="62"/>
      <c r="BK152" s="62"/>
      <c r="BL152" s="62"/>
      <c r="BM152" s="62"/>
      <c r="BN152" s="62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62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62"/>
      <c r="AF153" s="62"/>
      <c r="AG153" s="62"/>
      <c r="AH153" s="62"/>
      <c r="AI153" s="62"/>
      <c r="AJ153" s="62"/>
      <c r="AK153" s="62"/>
      <c r="AL153" s="62"/>
      <c r="AM153" s="62"/>
      <c r="AN153" s="62"/>
      <c r="AO153" s="62"/>
      <c r="AP153" s="62"/>
      <c r="AQ153" s="62"/>
      <c r="AR153" s="62"/>
      <c r="AS153" s="62"/>
      <c r="AT153" s="62"/>
      <c r="AU153" s="62"/>
      <c r="AV153" s="62"/>
      <c r="AW153" s="62"/>
      <c r="AX153" s="62"/>
      <c r="AY153" s="62"/>
      <c r="AZ153" s="62"/>
      <c r="BA153" s="62"/>
      <c r="BB153" s="62"/>
      <c r="BC153" s="62"/>
      <c r="BD153" s="62"/>
      <c r="BE153" s="62"/>
      <c r="BF153" s="62"/>
      <c r="BG153" s="62"/>
      <c r="BH153" s="62"/>
      <c r="BI153" s="62"/>
      <c r="BJ153" s="62"/>
      <c r="BK153" s="62"/>
      <c r="BL153" s="62"/>
      <c r="BM153" s="62"/>
      <c r="BN153" s="62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62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62"/>
      <c r="AF154" s="62"/>
      <c r="AG154" s="62"/>
      <c r="AH154" s="62"/>
      <c r="AI154" s="62"/>
      <c r="AJ154" s="62"/>
      <c r="AK154" s="62"/>
      <c r="AL154" s="62"/>
      <c r="AM154" s="62"/>
      <c r="AN154" s="62"/>
      <c r="AO154" s="62"/>
      <c r="AP154" s="62"/>
      <c r="AQ154" s="62"/>
      <c r="AR154" s="62"/>
      <c r="AS154" s="62"/>
      <c r="AT154" s="62"/>
      <c r="AU154" s="62"/>
      <c r="AV154" s="62"/>
      <c r="AW154" s="62"/>
      <c r="AX154" s="62"/>
      <c r="AY154" s="62"/>
      <c r="AZ154" s="62"/>
      <c r="BA154" s="62"/>
      <c r="BB154" s="62"/>
      <c r="BC154" s="62"/>
      <c r="BD154" s="62"/>
      <c r="BE154" s="62"/>
      <c r="BF154" s="62"/>
      <c r="BG154" s="62"/>
      <c r="BH154" s="62"/>
      <c r="BI154" s="62"/>
      <c r="BJ154" s="62"/>
      <c r="BK154" s="62"/>
      <c r="BL154" s="62"/>
      <c r="BM154" s="62"/>
      <c r="BN154" s="62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62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62"/>
      <c r="AF155" s="62"/>
      <c r="AG155" s="62"/>
      <c r="AH155" s="62"/>
      <c r="AI155" s="62"/>
      <c r="AJ155" s="62"/>
      <c r="AK155" s="62"/>
      <c r="AL155" s="62"/>
      <c r="AM155" s="62"/>
      <c r="AN155" s="62"/>
      <c r="AO155" s="62"/>
      <c r="AP155" s="62"/>
      <c r="AQ155" s="62"/>
      <c r="AR155" s="62"/>
      <c r="AS155" s="62"/>
      <c r="AT155" s="62"/>
      <c r="AU155" s="62"/>
      <c r="AV155" s="62"/>
      <c r="AW155" s="62"/>
      <c r="AX155" s="62"/>
      <c r="AY155" s="62"/>
      <c r="AZ155" s="62"/>
      <c r="BA155" s="62"/>
      <c r="BB155" s="62"/>
      <c r="BC155" s="62"/>
      <c r="BD155" s="62"/>
      <c r="BE155" s="62"/>
      <c r="BF155" s="62"/>
      <c r="BG155" s="62"/>
      <c r="BH155" s="62"/>
      <c r="BI155" s="62"/>
      <c r="BJ155" s="62"/>
      <c r="BK155" s="62"/>
      <c r="BL155" s="62"/>
      <c r="BM155" s="62"/>
      <c r="BN155" s="62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62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2"/>
      <c r="AP156" s="62"/>
      <c r="AQ156" s="62"/>
      <c r="AR156" s="62"/>
      <c r="AS156" s="62"/>
      <c r="AT156" s="62"/>
      <c r="AU156" s="62"/>
      <c r="AV156" s="62"/>
      <c r="AW156" s="62"/>
      <c r="AX156" s="62"/>
      <c r="AY156" s="62"/>
      <c r="AZ156" s="62"/>
      <c r="BA156" s="62"/>
      <c r="BB156" s="62"/>
      <c r="BC156" s="62"/>
      <c r="BD156" s="62"/>
      <c r="BE156" s="62"/>
      <c r="BF156" s="62"/>
      <c r="BG156" s="62"/>
      <c r="BH156" s="62"/>
      <c r="BI156" s="62"/>
      <c r="BJ156" s="62"/>
      <c r="BK156" s="62"/>
      <c r="BL156" s="62"/>
      <c r="BM156" s="62"/>
      <c r="BN156" s="62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62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62"/>
      <c r="AF157" s="62"/>
      <c r="AG157" s="62"/>
      <c r="AH157" s="62"/>
      <c r="AI157" s="62"/>
      <c r="AJ157" s="62"/>
      <c r="AK157" s="62"/>
      <c r="AL157" s="62"/>
      <c r="AM157" s="62"/>
      <c r="AN157" s="62"/>
      <c r="AO157" s="62"/>
      <c r="AP157" s="62"/>
      <c r="AQ157" s="62"/>
      <c r="AR157" s="62"/>
      <c r="AS157" s="62"/>
      <c r="AT157" s="62"/>
      <c r="AU157" s="62"/>
      <c r="AV157" s="62"/>
      <c r="AW157" s="62"/>
      <c r="AX157" s="62"/>
      <c r="AY157" s="62"/>
      <c r="AZ157" s="62"/>
      <c r="BA157" s="62"/>
      <c r="BB157" s="62"/>
      <c r="BC157" s="62"/>
      <c r="BD157" s="62"/>
      <c r="BE157" s="62"/>
      <c r="BF157" s="62"/>
      <c r="BG157" s="62"/>
      <c r="BH157" s="62"/>
      <c r="BI157" s="62"/>
      <c r="BJ157" s="62"/>
      <c r="BK157" s="62"/>
      <c r="BL157" s="62"/>
      <c r="BM157" s="62"/>
      <c r="BN157" s="62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62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/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2"/>
      <c r="BJ158" s="62"/>
      <c r="BK158" s="62"/>
      <c r="BL158" s="62"/>
      <c r="BM158" s="62"/>
      <c r="BN158" s="62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62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2"/>
      <c r="BJ159" s="62"/>
      <c r="BK159" s="62"/>
      <c r="BL159" s="62"/>
      <c r="BM159" s="62"/>
      <c r="BN159" s="62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62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62"/>
      <c r="AF160" s="62"/>
      <c r="AG160" s="62"/>
      <c r="AH160" s="62"/>
      <c r="AI160" s="62"/>
      <c r="AJ160" s="62"/>
      <c r="AK160" s="62"/>
      <c r="AL160" s="62"/>
      <c r="AM160" s="62"/>
      <c r="AN160" s="62"/>
      <c r="AO160" s="62"/>
      <c r="AP160" s="62"/>
      <c r="AQ160" s="62"/>
      <c r="AR160" s="62"/>
      <c r="AS160" s="62"/>
      <c r="AT160" s="62"/>
      <c r="AU160" s="62"/>
      <c r="AV160" s="62"/>
      <c r="AW160" s="62"/>
      <c r="AX160" s="62"/>
      <c r="AY160" s="62"/>
      <c r="AZ160" s="62"/>
      <c r="BA160" s="62"/>
      <c r="BB160" s="62"/>
      <c r="BC160" s="62"/>
      <c r="BD160" s="62"/>
      <c r="BE160" s="62"/>
      <c r="BF160" s="62"/>
      <c r="BG160" s="62"/>
      <c r="BH160" s="62"/>
      <c r="BI160" s="62"/>
      <c r="BJ160" s="62"/>
      <c r="BK160" s="62"/>
      <c r="BL160" s="62"/>
      <c r="BM160" s="62"/>
      <c r="BN160" s="62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62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62"/>
      <c r="AF161" s="62"/>
      <c r="AG161" s="62"/>
      <c r="AH161" s="62"/>
      <c r="AI161" s="62"/>
      <c r="AJ161" s="62"/>
      <c r="AK161" s="62"/>
      <c r="AL161" s="62"/>
      <c r="AM161" s="62"/>
      <c r="AN161" s="62"/>
      <c r="AO161" s="62"/>
      <c r="AP161" s="62"/>
      <c r="AQ161" s="62"/>
      <c r="AR161" s="62"/>
      <c r="AS161" s="62"/>
      <c r="AT161" s="62"/>
      <c r="AU161" s="62"/>
      <c r="AV161" s="62"/>
      <c r="AW161" s="62"/>
      <c r="AX161" s="62"/>
      <c r="AY161" s="62"/>
      <c r="AZ161" s="62"/>
      <c r="BA161" s="62"/>
      <c r="BB161" s="62"/>
      <c r="BC161" s="62"/>
      <c r="BD161" s="62"/>
      <c r="BE161" s="62"/>
      <c r="BF161" s="62"/>
      <c r="BG161" s="62"/>
      <c r="BH161" s="62"/>
      <c r="BI161" s="62"/>
      <c r="BJ161" s="62"/>
      <c r="BK161" s="62"/>
      <c r="BL161" s="62"/>
      <c r="BM161" s="62"/>
      <c r="BN161" s="62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62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62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62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62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62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62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62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62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62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62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62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2"/>
      <c r="AP172" s="62"/>
      <c r="AQ172" s="62"/>
      <c r="AR172" s="62"/>
      <c r="AS172" s="62"/>
      <c r="AT172" s="62"/>
      <c r="AU172" s="62"/>
      <c r="AV172" s="62"/>
      <c r="AW172" s="62"/>
      <c r="AX172" s="62"/>
      <c r="AY172" s="62"/>
      <c r="AZ172" s="62"/>
      <c r="BA172" s="62"/>
      <c r="BB172" s="62"/>
      <c r="BC172" s="62"/>
      <c r="BD172" s="62"/>
      <c r="BE172" s="62"/>
      <c r="BF172" s="62"/>
      <c r="BG172" s="62"/>
      <c r="BH172" s="62"/>
      <c r="BI172" s="62"/>
      <c r="BJ172" s="62"/>
      <c r="BK172" s="62"/>
      <c r="BL172" s="62"/>
      <c r="BM172" s="62"/>
      <c r="BN172" s="62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62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62"/>
      <c r="AF173" s="62"/>
      <c r="AG173" s="62"/>
      <c r="AH173" s="62"/>
      <c r="AI173" s="62"/>
      <c r="AJ173" s="62"/>
      <c r="AK173" s="62"/>
      <c r="AL173" s="62"/>
      <c r="AM173" s="62"/>
      <c r="AN173" s="62"/>
      <c r="AO173" s="62"/>
      <c r="AP173" s="62"/>
      <c r="AQ173" s="62"/>
      <c r="AR173" s="62"/>
      <c r="AS173" s="62"/>
      <c r="AT173" s="62"/>
      <c r="AU173" s="62"/>
      <c r="AV173" s="62"/>
      <c r="AW173" s="62"/>
      <c r="AX173" s="62"/>
      <c r="AY173" s="62"/>
      <c r="AZ173" s="62"/>
      <c r="BA173" s="62"/>
      <c r="BB173" s="62"/>
      <c r="BC173" s="62"/>
      <c r="BD173" s="62"/>
      <c r="BE173" s="62"/>
      <c r="BF173" s="62"/>
      <c r="BG173" s="62"/>
      <c r="BH173" s="62"/>
      <c r="BI173" s="62"/>
      <c r="BJ173" s="62"/>
      <c r="BK173" s="62"/>
      <c r="BL173" s="62"/>
      <c r="BM173" s="62"/>
      <c r="BN173" s="62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62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2"/>
      <c r="AP174" s="62"/>
      <c r="AQ174" s="62"/>
      <c r="AR174" s="62"/>
      <c r="AS174" s="62"/>
      <c r="AT174" s="62"/>
      <c r="AU174" s="62"/>
      <c r="AV174" s="62"/>
      <c r="AW174" s="62"/>
      <c r="AX174" s="62"/>
      <c r="AY174" s="62"/>
      <c r="AZ174" s="62"/>
      <c r="BA174" s="62"/>
      <c r="BB174" s="62"/>
      <c r="BC174" s="62"/>
      <c r="BD174" s="62"/>
      <c r="BE174" s="62"/>
      <c r="BF174" s="62"/>
      <c r="BG174" s="62"/>
      <c r="BH174" s="62"/>
      <c r="BI174" s="62"/>
      <c r="BJ174" s="62"/>
      <c r="BK174" s="62"/>
      <c r="BL174" s="62"/>
      <c r="BM174" s="62"/>
      <c r="BN174" s="62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62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62"/>
      <c r="AF175" s="62"/>
      <c r="AG175" s="62"/>
      <c r="AH175" s="62"/>
      <c r="AI175" s="62"/>
      <c r="AJ175" s="62"/>
      <c r="AK175" s="62"/>
      <c r="AL175" s="62"/>
      <c r="AM175" s="62"/>
      <c r="AN175" s="62"/>
      <c r="AO175" s="62"/>
      <c r="AP175" s="62"/>
      <c r="AQ175" s="62"/>
      <c r="AR175" s="62"/>
      <c r="AS175" s="62"/>
      <c r="AT175" s="62"/>
      <c r="AU175" s="62"/>
      <c r="AV175" s="62"/>
      <c r="AW175" s="62"/>
      <c r="AX175" s="62"/>
      <c r="AY175" s="62"/>
      <c r="AZ175" s="62"/>
      <c r="BA175" s="62"/>
      <c r="BB175" s="62"/>
      <c r="BC175" s="62"/>
      <c r="BD175" s="62"/>
      <c r="BE175" s="62"/>
      <c r="BF175" s="62"/>
      <c r="BG175" s="62"/>
      <c r="BH175" s="62"/>
      <c r="BI175" s="62"/>
      <c r="BJ175" s="62"/>
      <c r="BK175" s="62"/>
      <c r="BL175" s="62"/>
      <c r="BM175" s="62"/>
      <c r="BN175" s="62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62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2"/>
      <c r="AP176" s="62"/>
      <c r="AQ176" s="62"/>
      <c r="AR176" s="62"/>
      <c r="AS176" s="62"/>
      <c r="AT176" s="62"/>
      <c r="AU176" s="62"/>
      <c r="AV176" s="62"/>
      <c r="AW176" s="62"/>
      <c r="AX176" s="62"/>
      <c r="AY176" s="62"/>
      <c r="AZ176" s="62"/>
      <c r="BA176" s="62"/>
      <c r="BB176" s="62"/>
      <c r="BC176" s="62"/>
      <c r="BD176" s="62"/>
      <c r="BE176" s="62"/>
      <c r="BF176" s="62"/>
      <c r="BG176" s="62"/>
      <c r="BH176" s="62"/>
      <c r="BI176" s="62"/>
      <c r="BJ176" s="62"/>
      <c r="BK176" s="62"/>
      <c r="BL176" s="62"/>
      <c r="BM176" s="62"/>
      <c r="BN176" s="62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62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62"/>
      <c r="AF177" s="62"/>
      <c r="AG177" s="62"/>
      <c r="AH177" s="62"/>
      <c r="AI177" s="62"/>
      <c r="AJ177" s="62"/>
      <c r="AK177" s="62"/>
      <c r="AL177" s="62"/>
      <c r="AM177" s="62"/>
      <c r="AN177" s="62"/>
      <c r="AO177" s="62"/>
      <c r="AP177" s="62"/>
      <c r="AQ177" s="62"/>
      <c r="AR177" s="62"/>
      <c r="AS177" s="62"/>
      <c r="AT177" s="62"/>
      <c r="AU177" s="62"/>
      <c r="AV177" s="62"/>
      <c r="AW177" s="62"/>
      <c r="AX177" s="62"/>
      <c r="AY177" s="62"/>
      <c r="AZ177" s="62"/>
      <c r="BA177" s="62"/>
      <c r="BB177" s="62"/>
      <c r="BC177" s="62"/>
      <c r="BD177" s="62"/>
      <c r="BE177" s="62"/>
      <c r="BF177" s="62"/>
      <c r="BG177" s="62"/>
      <c r="BH177" s="62"/>
      <c r="BI177" s="62"/>
      <c r="BJ177" s="62"/>
      <c r="BK177" s="62"/>
      <c r="BL177" s="62"/>
      <c r="BM177" s="62"/>
      <c r="BN177" s="62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62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2"/>
      <c r="AP178" s="62"/>
      <c r="AQ178" s="62"/>
      <c r="AR178" s="62"/>
      <c r="AS178" s="62"/>
      <c r="AT178" s="62"/>
      <c r="AU178" s="62"/>
      <c r="AV178" s="62"/>
      <c r="AW178" s="62"/>
      <c r="AX178" s="62"/>
      <c r="AY178" s="62"/>
      <c r="AZ178" s="62"/>
      <c r="BA178" s="62"/>
      <c r="BB178" s="62"/>
      <c r="BC178" s="62"/>
      <c r="BD178" s="62"/>
      <c r="BE178" s="62"/>
      <c r="BF178" s="62"/>
      <c r="BG178" s="62"/>
      <c r="BH178" s="62"/>
      <c r="BI178" s="62"/>
      <c r="BJ178" s="62"/>
      <c r="BK178" s="62"/>
      <c r="BL178" s="62"/>
      <c r="BM178" s="62"/>
      <c r="BN178" s="62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62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62"/>
      <c r="AF179" s="62"/>
      <c r="AG179" s="62"/>
      <c r="AH179" s="62"/>
      <c r="AI179" s="62"/>
      <c r="AJ179" s="62"/>
      <c r="AK179" s="62"/>
      <c r="AL179" s="62"/>
      <c r="AM179" s="62"/>
      <c r="AN179" s="62"/>
      <c r="AO179" s="62"/>
      <c r="AP179" s="62"/>
      <c r="AQ179" s="62"/>
      <c r="AR179" s="62"/>
      <c r="AS179" s="62"/>
      <c r="AT179" s="62"/>
      <c r="AU179" s="62"/>
      <c r="AV179" s="62"/>
      <c r="AW179" s="62"/>
      <c r="AX179" s="62"/>
      <c r="AY179" s="62"/>
      <c r="AZ179" s="62"/>
      <c r="BA179" s="62"/>
      <c r="BB179" s="62"/>
      <c r="BC179" s="62"/>
      <c r="BD179" s="62"/>
      <c r="BE179" s="62"/>
      <c r="BF179" s="62"/>
      <c r="BG179" s="62"/>
      <c r="BH179" s="62"/>
      <c r="BI179" s="62"/>
      <c r="BJ179" s="62"/>
      <c r="BK179" s="62"/>
      <c r="BL179" s="62"/>
      <c r="BM179" s="62"/>
      <c r="BN179" s="62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62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62"/>
      <c r="AF180" s="62"/>
      <c r="AG180" s="62"/>
      <c r="AH180" s="62"/>
      <c r="AI180" s="62"/>
      <c r="AJ180" s="62"/>
      <c r="AK180" s="62"/>
      <c r="AL180" s="62"/>
      <c r="AM180" s="62"/>
      <c r="AN180" s="62"/>
      <c r="AO180" s="62"/>
      <c r="AP180" s="62"/>
      <c r="AQ180" s="62"/>
      <c r="AR180" s="62"/>
      <c r="AS180" s="62"/>
      <c r="AT180" s="62"/>
      <c r="AU180" s="62"/>
      <c r="AV180" s="62"/>
      <c r="AW180" s="62"/>
      <c r="AX180" s="62"/>
      <c r="AY180" s="62"/>
      <c r="AZ180" s="62"/>
      <c r="BA180" s="62"/>
      <c r="BB180" s="62"/>
      <c r="BC180" s="62"/>
      <c r="BD180" s="62"/>
      <c r="BE180" s="62"/>
      <c r="BF180" s="62"/>
      <c r="BG180" s="62"/>
      <c r="BH180" s="62"/>
      <c r="BI180" s="62"/>
      <c r="BJ180" s="62"/>
      <c r="BK180" s="62"/>
      <c r="BL180" s="62"/>
      <c r="BM180" s="62"/>
      <c r="BN180" s="62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62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62"/>
      <c r="AF181" s="62"/>
      <c r="AG181" s="62"/>
      <c r="AH181" s="62"/>
      <c r="AI181" s="62"/>
      <c r="AJ181" s="62"/>
      <c r="AK181" s="62"/>
      <c r="AL181" s="62"/>
      <c r="AM181" s="62"/>
      <c r="AN181" s="62"/>
      <c r="AO181" s="62"/>
      <c r="AP181" s="62"/>
      <c r="AQ181" s="62"/>
      <c r="AR181" s="62"/>
      <c r="AS181" s="62"/>
      <c r="AT181" s="62"/>
      <c r="AU181" s="62"/>
      <c r="AV181" s="62"/>
      <c r="AW181" s="62"/>
      <c r="AX181" s="62"/>
      <c r="AY181" s="62"/>
      <c r="AZ181" s="62"/>
      <c r="BA181" s="62"/>
      <c r="BB181" s="62"/>
      <c r="BC181" s="62"/>
      <c r="BD181" s="62"/>
      <c r="BE181" s="62"/>
      <c r="BF181" s="62"/>
      <c r="BG181" s="62"/>
      <c r="BH181" s="62"/>
      <c r="BI181" s="62"/>
      <c r="BJ181" s="62"/>
      <c r="BK181" s="62"/>
      <c r="BL181" s="62"/>
      <c r="BM181" s="62"/>
      <c r="BN181" s="62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62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  <c r="AP182" s="62"/>
      <c r="AQ182" s="62"/>
      <c r="AR182" s="62"/>
      <c r="AS182" s="62"/>
      <c r="AT182" s="62"/>
      <c r="AU182" s="62"/>
      <c r="AV182" s="62"/>
      <c r="AW182" s="62"/>
      <c r="AX182" s="62"/>
      <c r="AY182" s="62"/>
      <c r="AZ182" s="62"/>
      <c r="BA182" s="62"/>
      <c r="BB182" s="62"/>
      <c r="BC182" s="62"/>
      <c r="BD182" s="62"/>
      <c r="BE182" s="62"/>
      <c r="BF182" s="62"/>
      <c r="BG182" s="62"/>
      <c r="BH182" s="62"/>
      <c r="BI182" s="62"/>
      <c r="BJ182" s="62"/>
      <c r="BK182" s="62"/>
      <c r="BL182" s="62"/>
      <c r="BM182" s="62"/>
      <c r="BN182" s="62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62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62"/>
      <c r="AF183" s="62"/>
      <c r="AG183" s="62"/>
      <c r="AH183" s="62"/>
      <c r="AI183" s="62"/>
      <c r="AJ183" s="62"/>
      <c r="AK183" s="62"/>
      <c r="AL183" s="62"/>
      <c r="AM183" s="62"/>
      <c r="AN183" s="62"/>
      <c r="AO183" s="62"/>
      <c r="AP183" s="62"/>
      <c r="AQ183" s="62"/>
      <c r="AR183" s="62"/>
      <c r="AS183" s="62"/>
      <c r="AT183" s="62"/>
      <c r="AU183" s="62"/>
      <c r="AV183" s="62"/>
      <c r="AW183" s="62"/>
      <c r="AX183" s="62"/>
      <c r="AY183" s="62"/>
      <c r="AZ183" s="62"/>
      <c r="BA183" s="62"/>
      <c r="BB183" s="62"/>
      <c r="BC183" s="62"/>
      <c r="BD183" s="62"/>
      <c r="BE183" s="62"/>
      <c r="BF183" s="62"/>
      <c r="BG183" s="62"/>
      <c r="BH183" s="62"/>
      <c r="BI183" s="62"/>
      <c r="BJ183" s="62"/>
      <c r="BK183" s="62"/>
      <c r="BL183" s="62"/>
      <c r="BM183" s="62"/>
      <c r="BN183" s="62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62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2"/>
      <c r="AP184" s="62"/>
      <c r="AQ184" s="62"/>
      <c r="AR184" s="62"/>
      <c r="AS184" s="62"/>
      <c r="AT184" s="62"/>
      <c r="AU184" s="62"/>
      <c r="AV184" s="62"/>
      <c r="AW184" s="62"/>
      <c r="AX184" s="62"/>
      <c r="AY184" s="62"/>
      <c r="AZ184" s="62"/>
      <c r="BA184" s="62"/>
      <c r="BB184" s="62"/>
      <c r="BC184" s="62"/>
      <c r="BD184" s="62"/>
      <c r="BE184" s="62"/>
      <c r="BF184" s="62"/>
      <c r="BG184" s="62"/>
      <c r="BH184" s="62"/>
      <c r="BI184" s="62"/>
      <c r="BJ184" s="62"/>
      <c r="BK184" s="62"/>
      <c r="BL184" s="62"/>
      <c r="BM184" s="62"/>
      <c r="BN184" s="62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62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62"/>
      <c r="AF185" s="62"/>
      <c r="AG185" s="62"/>
      <c r="AH185" s="62"/>
      <c r="AI185" s="62"/>
      <c r="AJ185" s="62"/>
      <c r="AK185" s="62"/>
      <c r="AL185" s="62"/>
      <c r="AM185" s="62"/>
      <c r="AN185" s="62"/>
      <c r="AO185" s="62"/>
      <c r="AP185" s="62"/>
      <c r="AQ185" s="62"/>
      <c r="AR185" s="62"/>
      <c r="AS185" s="62"/>
      <c r="AT185" s="62"/>
      <c r="AU185" s="62"/>
      <c r="AV185" s="62"/>
      <c r="AW185" s="62"/>
      <c r="AX185" s="62"/>
      <c r="AY185" s="62"/>
      <c r="AZ185" s="62"/>
      <c r="BA185" s="62"/>
      <c r="BB185" s="62"/>
      <c r="BC185" s="62"/>
      <c r="BD185" s="62"/>
      <c r="BE185" s="62"/>
      <c r="BF185" s="62"/>
      <c r="BG185" s="62"/>
      <c r="BH185" s="62"/>
      <c r="BI185" s="62"/>
      <c r="BJ185" s="62"/>
      <c r="BK185" s="62"/>
      <c r="BL185" s="62"/>
      <c r="BM185" s="62"/>
      <c r="BN185" s="62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62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  <c r="AO186" s="62"/>
      <c r="AP186" s="62"/>
      <c r="AQ186" s="62"/>
      <c r="AR186" s="62"/>
      <c r="AS186" s="62"/>
      <c r="AT186" s="62"/>
      <c r="AU186" s="62"/>
      <c r="AV186" s="62"/>
      <c r="AW186" s="62"/>
      <c r="AX186" s="62"/>
      <c r="AY186" s="62"/>
      <c r="AZ186" s="62"/>
      <c r="BA186" s="62"/>
      <c r="BB186" s="62"/>
      <c r="BC186" s="62"/>
      <c r="BD186" s="62"/>
      <c r="BE186" s="62"/>
      <c r="BF186" s="62"/>
      <c r="BG186" s="62"/>
      <c r="BH186" s="62"/>
      <c r="BI186" s="62"/>
      <c r="BJ186" s="62"/>
      <c r="BK186" s="62"/>
      <c r="BL186" s="62"/>
      <c r="BM186" s="62"/>
      <c r="BN186" s="62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62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62"/>
      <c r="AF187" s="62"/>
      <c r="AG187" s="62"/>
      <c r="AH187" s="62"/>
      <c r="AI187" s="62"/>
      <c r="AJ187" s="62"/>
      <c r="AK187" s="62"/>
      <c r="AL187" s="62"/>
      <c r="AM187" s="62"/>
      <c r="AN187" s="62"/>
      <c r="AO187" s="62"/>
      <c r="AP187" s="62"/>
      <c r="AQ187" s="62"/>
      <c r="AR187" s="62"/>
      <c r="AS187" s="62"/>
      <c r="AT187" s="62"/>
      <c r="AU187" s="62"/>
      <c r="AV187" s="62"/>
      <c r="AW187" s="62"/>
      <c r="AX187" s="62"/>
      <c r="AY187" s="62"/>
      <c r="AZ187" s="62"/>
      <c r="BA187" s="62"/>
      <c r="BB187" s="62"/>
      <c r="BC187" s="62"/>
      <c r="BD187" s="62"/>
      <c r="BE187" s="62"/>
      <c r="BF187" s="62"/>
      <c r="BG187" s="62"/>
      <c r="BH187" s="62"/>
      <c r="BI187" s="62"/>
      <c r="BJ187" s="62"/>
      <c r="BK187" s="62"/>
      <c r="BL187" s="62"/>
      <c r="BM187" s="62"/>
      <c r="BN187" s="62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62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  <c r="AO188" s="62"/>
      <c r="AP188" s="62"/>
      <c r="AQ188" s="62"/>
      <c r="AR188" s="62"/>
      <c r="AS188" s="62"/>
      <c r="AT188" s="62"/>
      <c r="AU188" s="62"/>
      <c r="AV188" s="62"/>
      <c r="AW188" s="62"/>
      <c r="AX188" s="62"/>
      <c r="AY188" s="62"/>
      <c r="AZ188" s="62"/>
      <c r="BA188" s="62"/>
      <c r="BB188" s="62"/>
      <c r="BC188" s="62"/>
      <c r="BD188" s="62"/>
      <c r="BE188" s="62"/>
      <c r="BF188" s="62"/>
      <c r="BG188" s="62"/>
      <c r="BH188" s="62"/>
      <c r="BI188" s="62"/>
      <c r="BJ188" s="62"/>
      <c r="BK188" s="62"/>
      <c r="BL188" s="62"/>
      <c r="BM188" s="62"/>
      <c r="BN188" s="62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62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62"/>
      <c r="AF189" s="62"/>
      <c r="AG189" s="62"/>
      <c r="AH189" s="62"/>
      <c r="AI189" s="62"/>
      <c r="AJ189" s="62"/>
      <c r="AK189" s="62"/>
      <c r="AL189" s="62"/>
      <c r="AM189" s="62"/>
      <c r="AN189" s="62"/>
      <c r="AO189" s="62"/>
      <c r="AP189" s="62"/>
      <c r="AQ189" s="62"/>
      <c r="AR189" s="62"/>
      <c r="AS189" s="62"/>
      <c r="AT189" s="62"/>
      <c r="AU189" s="62"/>
      <c r="AV189" s="62"/>
      <c r="AW189" s="62"/>
      <c r="AX189" s="62"/>
      <c r="AY189" s="62"/>
      <c r="AZ189" s="62"/>
      <c r="BA189" s="62"/>
      <c r="BB189" s="62"/>
      <c r="BC189" s="62"/>
      <c r="BD189" s="62"/>
      <c r="BE189" s="62"/>
      <c r="BF189" s="62"/>
      <c r="BG189" s="62"/>
      <c r="BH189" s="62"/>
      <c r="BI189" s="62"/>
      <c r="BJ189" s="62"/>
      <c r="BK189" s="62"/>
      <c r="BL189" s="62"/>
      <c r="BM189" s="62"/>
      <c r="BN189" s="62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62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62"/>
      <c r="AF190" s="62"/>
      <c r="AG190" s="62"/>
      <c r="AH190" s="62"/>
      <c r="AI190" s="62"/>
      <c r="AJ190" s="62"/>
      <c r="AK190" s="62"/>
      <c r="AL190" s="62"/>
      <c r="AM190" s="62"/>
      <c r="AN190" s="62"/>
      <c r="AO190" s="62"/>
      <c r="AP190" s="62"/>
      <c r="AQ190" s="62"/>
      <c r="AR190" s="62"/>
      <c r="AS190" s="62"/>
      <c r="AT190" s="62"/>
      <c r="AU190" s="62"/>
      <c r="AV190" s="62"/>
      <c r="AW190" s="62"/>
      <c r="AX190" s="62"/>
      <c r="AY190" s="62"/>
      <c r="AZ190" s="62"/>
      <c r="BA190" s="62"/>
      <c r="BB190" s="62"/>
      <c r="BC190" s="62"/>
      <c r="BD190" s="62"/>
      <c r="BE190" s="62"/>
      <c r="BF190" s="62"/>
      <c r="BG190" s="62"/>
      <c r="BH190" s="62"/>
      <c r="BI190" s="62"/>
      <c r="BJ190" s="62"/>
      <c r="BK190" s="62"/>
      <c r="BL190" s="62"/>
      <c r="BM190" s="62"/>
      <c r="BN190" s="62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62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62"/>
      <c r="AF191" s="62"/>
      <c r="AG191" s="62"/>
      <c r="AH191" s="62"/>
      <c r="AI191" s="62"/>
      <c r="AJ191" s="62"/>
      <c r="AK191" s="62"/>
      <c r="AL191" s="62"/>
      <c r="AM191" s="62"/>
      <c r="AN191" s="62"/>
      <c r="AO191" s="62"/>
      <c r="AP191" s="62"/>
      <c r="AQ191" s="62"/>
      <c r="AR191" s="62"/>
      <c r="AS191" s="62"/>
      <c r="AT191" s="62"/>
      <c r="AU191" s="62"/>
      <c r="AV191" s="62"/>
      <c r="AW191" s="62"/>
      <c r="AX191" s="62"/>
      <c r="AY191" s="62"/>
      <c r="AZ191" s="62"/>
      <c r="BA191" s="62"/>
      <c r="BB191" s="62"/>
      <c r="BC191" s="62"/>
      <c r="BD191" s="62"/>
      <c r="BE191" s="62"/>
      <c r="BF191" s="62"/>
      <c r="BG191" s="62"/>
      <c r="BH191" s="62"/>
      <c r="BI191" s="62"/>
      <c r="BJ191" s="62"/>
      <c r="BK191" s="62"/>
      <c r="BL191" s="62"/>
      <c r="BM191" s="62"/>
      <c r="BN191" s="62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62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2"/>
      <c r="AP192" s="62"/>
      <c r="AQ192" s="62"/>
      <c r="AR192" s="62"/>
      <c r="AS192" s="62"/>
      <c r="AT192" s="62"/>
      <c r="AU192" s="62"/>
      <c r="AV192" s="62"/>
      <c r="AW192" s="62"/>
      <c r="AX192" s="62"/>
      <c r="AY192" s="62"/>
      <c r="AZ192" s="62"/>
      <c r="BA192" s="62"/>
      <c r="BB192" s="62"/>
      <c r="BC192" s="62"/>
      <c r="BD192" s="62"/>
      <c r="BE192" s="62"/>
      <c r="BF192" s="62"/>
      <c r="BG192" s="62"/>
      <c r="BH192" s="62"/>
      <c r="BI192" s="62"/>
      <c r="BJ192" s="62"/>
      <c r="BK192" s="62"/>
      <c r="BL192" s="62"/>
      <c r="BM192" s="62"/>
      <c r="BN192" s="62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62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62"/>
      <c r="AF193" s="62"/>
      <c r="AG193" s="62"/>
      <c r="AH193" s="62"/>
      <c r="AI193" s="62"/>
      <c r="AJ193" s="62"/>
      <c r="AK193" s="62"/>
      <c r="AL193" s="62"/>
      <c r="AM193" s="62"/>
      <c r="AN193" s="62"/>
      <c r="AO193" s="62"/>
      <c r="AP193" s="62"/>
      <c r="AQ193" s="62"/>
      <c r="AR193" s="62"/>
      <c r="AS193" s="62"/>
      <c r="AT193" s="62"/>
      <c r="AU193" s="62"/>
      <c r="AV193" s="62"/>
      <c r="AW193" s="62"/>
      <c r="AX193" s="62"/>
      <c r="AY193" s="62"/>
      <c r="AZ193" s="62"/>
      <c r="BA193" s="62"/>
      <c r="BB193" s="62"/>
      <c r="BC193" s="62"/>
      <c r="BD193" s="62"/>
      <c r="BE193" s="62"/>
      <c r="BF193" s="62"/>
      <c r="BG193" s="62"/>
      <c r="BH193" s="62"/>
      <c r="BI193" s="62"/>
      <c r="BJ193" s="62"/>
      <c r="BK193" s="62"/>
      <c r="BL193" s="62"/>
      <c r="BM193" s="62"/>
      <c r="BN193" s="62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62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2"/>
      <c r="AP194" s="62"/>
      <c r="AQ194" s="62"/>
      <c r="AR194" s="62"/>
      <c r="AS194" s="62"/>
      <c r="AT194" s="62"/>
      <c r="AU194" s="62"/>
      <c r="AV194" s="62"/>
      <c r="AW194" s="62"/>
      <c r="AX194" s="62"/>
      <c r="AY194" s="62"/>
      <c r="AZ194" s="62"/>
      <c r="BA194" s="62"/>
      <c r="BB194" s="62"/>
      <c r="BC194" s="62"/>
      <c r="BD194" s="62"/>
      <c r="BE194" s="62"/>
      <c r="BF194" s="62"/>
      <c r="BG194" s="62"/>
      <c r="BH194" s="62"/>
      <c r="BI194" s="62"/>
      <c r="BJ194" s="62"/>
      <c r="BK194" s="62"/>
      <c r="BL194" s="62"/>
      <c r="BM194" s="62"/>
      <c r="BN194" s="62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62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62"/>
      <c r="AF195" s="62"/>
      <c r="AG195" s="62"/>
      <c r="AH195" s="62"/>
      <c r="AI195" s="62"/>
      <c r="AJ195" s="62"/>
      <c r="AK195" s="62"/>
      <c r="AL195" s="62"/>
      <c r="AM195" s="62"/>
      <c r="AN195" s="62"/>
      <c r="AO195" s="62"/>
      <c r="AP195" s="62"/>
      <c r="AQ195" s="62"/>
      <c r="AR195" s="62"/>
      <c r="AS195" s="62"/>
      <c r="AT195" s="62"/>
      <c r="AU195" s="62"/>
      <c r="AV195" s="62"/>
      <c r="AW195" s="62"/>
      <c r="AX195" s="62"/>
      <c r="AY195" s="62"/>
      <c r="AZ195" s="62"/>
      <c r="BA195" s="62"/>
      <c r="BB195" s="62"/>
      <c r="BC195" s="62"/>
      <c r="BD195" s="62"/>
      <c r="BE195" s="62"/>
      <c r="BF195" s="62"/>
      <c r="BG195" s="62"/>
      <c r="BH195" s="62"/>
      <c r="BI195" s="62"/>
      <c r="BJ195" s="62"/>
      <c r="BK195" s="62"/>
      <c r="BL195" s="62"/>
      <c r="BM195" s="62"/>
      <c r="BN195" s="62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62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/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2"/>
      <c r="BJ196" s="62"/>
      <c r="BK196" s="62"/>
      <c r="BL196" s="62"/>
      <c r="BM196" s="62"/>
      <c r="BN196" s="62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62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2"/>
      <c r="BJ197" s="62"/>
      <c r="BK197" s="62"/>
      <c r="BL197" s="62"/>
      <c r="BM197" s="62"/>
      <c r="BN197" s="62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62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  <c r="AP198" s="62"/>
      <c r="AQ198" s="62"/>
      <c r="AR198" s="62"/>
      <c r="AS198" s="62"/>
      <c r="AT198" s="62"/>
      <c r="AU198" s="62"/>
      <c r="AV198" s="62"/>
      <c r="AW198" s="62"/>
      <c r="AX198" s="62"/>
      <c r="AY198" s="62"/>
      <c r="AZ198" s="62"/>
      <c r="BA198" s="62"/>
      <c r="BB198" s="62"/>
      <c r="BC198" s="62"/>
      <c r="BD198" s="62"/>
      <c r="BE198" s="62"/>
      <c r="BF198" s="62"/>
      <c r="BG198" s="62"/>
      <c r="BH198" s="62"/>
      <c r="BI198" s="62"/>
      <c r="BJ198" s="62"/>
      <c r="BK198" s="62"/>
      <c r="BL198" s="62"/>
      <c r="BM198" s="62"/>
      <c r="BN198" s="62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62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  <c r="AO199" s="62"/>
      <c r="AP199" s="62"/>
      <c r="AQ199" s="62"/>
      <c r="AR199" s="62"/>
      <c r="AS199" s="62"/>
      <c r="AT199" s="62"/>
      <c r="AU199" s="62"/>
      <c r="AV199" s="62"/>
      <c r="AW199" s="62"/>
      <c r="AX199" s="62"/>
      <c r="AY199" s="62"/>
      <c r="AZ199" s="62"/>
      <c r="BA199" s="62"/>
      <c r="BB199" s="62"/>
      <c r="BC199" s="62"/>
      <c r="BD199" s="62"/>
      <c r="BE199" s="62"/>
      <c r="BF199" s="62"/>
      <c r="BG199" s="62"/>
      <c r="BH199" s="62"/>
      <c r="BI199" s="62"/>
      <c r="BJ199" s="62"/>
      <c r="BK199" s="62"/>
      <c r="BL199" s="62"/>
      <c r="BM199" s="62"/>
      <c r="BN199" s="62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62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62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62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62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62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62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62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62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62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62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62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2"/>
      <c r="AP210" s="62"/>
      <c r="AQ210" s="62"/>
      <c r="AR210" s="62"/>
      <c r="AS210" s="62"/>
      <c r="AT210" s="62"/>
      <c r="AU210" s="62"/>
      <c r="AV210" s="62"/>
      <c r="AW210" s="62"/>
      <c r="AX210" s="62"/>
      <c r="AY210" s="62"/>
      <c r="AZ210" s="62"/>
      <c r="BA210" s="62"/>
      <c r="BB210" s="62"/>
      <c r="BC210" s="62"/>
      <c r="BD210" s="62"/>
      <c r="BE210" s="62"/>
      <c r="BF210" s="62"/>
      <c r="BG210" s="62"/>
      <c r="BH210" s="62"/>
      <c r="BI210" s="62"/>
      <c r="BJ210" s="62"/>
      <c r="BK210" s="62"/>
      <c r="BL210" s="62"/>
      <c r="BM210" s="62"/>
      <c r="BN210" s="62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62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62"/>
      <c r="AF211" s="62"/>
      <c r="AG211" s="62"/>
      <c r="AH211" s="62"/>
      <c r="AI211" s="62"/>
      <c r="AJ211" s="62"/>
      <c r="AK211" s="62"/>
      <c r="AL211" s="62"/>
      <c r="AM211" s="62"/>
      <c r="AN211" s="62"/>
      <c r="AO211" s="62"/>
      <c r="AP211" s="62"/>
      <c r="AQ211" s="62"/>
      <c r="AR211" s="62"/>
      <c r="AS211" s="62"/>
      <c r="AT211" s="62"/>
      <c r="AU211" s="62"/>
      <c r="AV211" s="62"/>
      <c r="AW211" s="62"/>
      <c r="AX211" s="62"/>
      <c r="AY211" s="62"/>
      <c r="AZ211" s="62"/>
      <c r="BA211" s="62"/>
      <c r="BB211" s="62"/>
      <c r="BC211" s="62"/>
      <c r="BD211" s="62"/>
      <c r="BE211" s="62"/>
      <c r="BF211" s="62"/>
      <c r="BG211" s="62"/>
      <c r="BH211" s="62"/>
      <c r="BI211" s="62"/>
      <c r="BJ211" s="62"/>
      <c r="BK211" s="62"/>
      <c r="BL211" s="62"/>
      <c r="BM211" s="62"/>
      <c r="BN211" s="62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62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  <c r="AP212" s="62"/>
      <c r="AQ212" s="62"/>
      <c r="AR212" s="62"/>
      <c r="AS212" s="62"/>
      <c r="AT212" s="62"/>
      <c r="AU212" s="62"/>
      <c r="AV212" s="62"/>
      <c r="AW212" s="62"/>
      <c r="AX212" s="62"/>
      <c r="AY212" s="62"/>
      <c r="AZ212" s="62"/>
      <c r="BA212" s="62"/>
      <c r="BB212" s="62"/>
      <c r="BC212" s="62"/>
      <c r="BD212" s="62"/>
      <c r="BE212" s="62"/>
      <c r="BF212" s="62"/>
      <c r="BG212" s="62"/>
      <c r="BH212" s="62"/>
      <c r="BI212" s="62"/>
      <c r="BJ212" s="62"/>
      <c r="BK212" s="62"/>
      <c r="BL212" s="62"/>
      <c r="BM212" s="62"/>
      <c r="BN212" s="62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62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62"/>
      <c r="AF213" s="62"/>
      <c r="AG213" s="62"/>
      <c r="AH213" s="62"/>
      <c r="AI213" s="62"/>
      <c r="AJ213" s="62"/>
      <c r="AK213" s="62"/>
      <c r="AL213" s="62"/>
      <c r="AM213" s="62"/>
      <c r="AN213" s="62"/>
      <c r="AO213" s="62"/>
      <c r="AP213" s="62"/>
      <c r="AQ213" s="62"/>
      <c r="AR213" s="62"/>
      <c r="AS213" s="62"/>
      <c r="AT213" s="62"/>
      <c r="AU213" s="62"/>
      <c r="AV213" s="62"/>
      <c r="AW213" s="62"/>
      <c r="AX213" s="62"/>
      <c r="AY213" s="62"/>
      <c r="AZ213" s="62"/>
      <c r="BA213" s="62"/>
      <c r="BB213" s="62"/>
      <c r="BC213" s="62"/>
      <c r="BD213" s="62"/>
      <c r="BE213" s="62"/>
      <c r="BF213" s="62"/>
      <c r="BG213" s="62"/>
      <c r="BH213" s="62"/>
      <c r="BI213" s="62"/>
      <c r="BJ213" s="62"/>
      <c r="BK213" s="62"/>
      <c r="BL213" s="62"/>
      <c r="BM213" s="62"/>
      <c r="BN213" s="62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62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2"/>
      <c r="AP214" s="62"/>
      <c r="AQ214" s="62"/>
      <c r="AR214" s="62"/>
      <c r="AS214" s="62"/>
      <c r="AT214" s="62"/>
      <c r="AU214" s="62"/>
      <c r="AV214" s="62"/>
      <c r="AW214" s="62"/>
      <c r="AX214" s="62"/>
      <c r="AY214" s="62"/>
      <c r="AZ214" s="62"/>
      <c r="BA214" s="62"/>
      <c r="BB214" s="62"/>
      <c r="BC214" s="62"/>
      <c r="BD214" s="62"/>
      <c r="BE214" s="62"/>
      <c r="BF214" s="62"/>
      <c r="BG214" s="62"/>
      <c r="BH214" s="62"/>
      <c r="BI214" s="62"/>
      <c r="BJ214" s="62"/>
      <c r="BK214" s="62"/>
      <c r="BL214" s="62"/>
      <c r="BM214" s="62"/>
      <c r="BN214" s="62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62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62"/>
      <c r="AF215" s="62"/>
      <c r="AG215" s="62"/>
      <c r="AH215" s="62"/>
      <c r="AI215" s="62"/>
      <c r="AJ215" s="62"/>
      <c r="AK215" s="62"/>
      <c r="AL215" s="62"/>
      <c r="AM215" s="62"/>
      <c r="AN215" s="62"/>
      <c r="AO215" s="62"/>
      <c r="AP215" s="62"/>
      <c r="AQ215" s="62"/>
      <c r="AR215" s="62"/>
      <c r="AS215" s="62"/>
      <c r="AT215" s="62"/>
      <c r="AU215" s="62"/>
      <c r="AV215" s="62"/>
      <c r="AW215" s="62"/>
      <c r="AX215" s="62"/>
      <c r="AY215" s="62"/>
      <c r="AZ215" s="62"/>
      <c r="BA215" s="62"/>
      <c r="BB215" s="62"/>
      <c r="BC215" s="62"/>
      <c r="BD215" s="62"/>
      <c r="BE215" s="62"/>
      <c r="BF215" s="62"/>
      <c r="BG215" s="62"/>
      <c r="BH215" s="62"/>
      <c r="BI215" s="62"/>
      <c r="BJ215" s="62"/>
      <c r="BK215" s="62"/>
      <c r="BL215" s="62"/>
      <c r="BM215" s="62"/>
      <c r="BN215" s="62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62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62"/>
      <c r="AF216" s="62"/>
      <c r="AG216" s="62"/>
      <c r="AH216" s="62"/>
      <c r="AI216" s="62"/>
      <c r="AJ216" s="62"/>
      <c r="AK216" s="62"/>
      <c r="AL216" s="62"/>
      <c r="AM216" s="62"/>
      <c r="AN216" s="62"/>
      <c r="AO216" s="62"/>
      <c r="AP216" s="62"/>
      <c r="AQ216" s="62"/>
      <c r="AR216" s="62"/>
      <c r="AS216" s="62"/>
      <c r="AT216" s="62"/>
      <c r="AU216" s="62"/>
      <c r="AV216" s="62"/>
      <c r="AW216" s="62"/>
      <c r="AX216" s="62"/>
      <c r="AY216" s="62"/>
      <c r="AZ216" s="62"/>
      <c r="BA216" s="62"/>
      <c r="BB216" s="62"/>
      <c r="BC216" s="62"/>
      <c r="BD216" s="62"/>
      <c r="BE216" s="62"/>
      <c r="BF216" s="62"/>
      <c r="BG216" s="62"/>
      <c r="BH216" s="62"/>
      <c r="BI216" s="62"/>
      <c r="BJ216" s="62"/>
      <c r="BK216" s="62"/>
      <c r="BL216" s="62"/>
      <c r="BM216" s="62"/>
      <c r="BN216" s="62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62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62"/>
      <c r="AF217" s="62"/>
      <c r="AG217" s="62"/>
      <c r="AH217" s="62"/>
      <c r="AI217" s="62"/>
      <c r="AJ217" s="62"/>
      <c r="AK217" s="62"/>
      <c r="AL217" s="62"/>
      <c r="AM217" s="62"/>
      <c r="AN217" s="62"/>
      <c r="AO217" s="62"/>
      <c r="AP217" s="62"/>
      <c r="AQ217" s="62"/>
      <c r="AR217" s="62"/>
      <c r="AS217" s="62"/>
      <c r="AT217" s="62"/>
      <c r="AU217" s="62"/>
      <c r="AV217" s="62"/>
      <c r="AW217" s="62"/>
      <c r="AX217" s="62"/>
      <c r="AY217" s="62"/>
      <c r="AZ217" s="62"/>
      <c r="BA217" s="62"/>
      <c r="BB217" s="62"/>
      <c r="BC217" s="62"/>
      <c r="BD217" s="62"/>
      <c r="BE217" s="62"/>
      <c r="BF217" s="62"/>
      <c r="BG217" s="62"/>
      <c r="BH217" s="62"/>
      <c r="BI217" s="62"/>
      <c r="BJ217" s="62"/>
      <c r="BK217" s="62"/>
      <c r="BL217" s="62"/>
      <c r="BM217" s="62"/>
      <c r="BN217" s="62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62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62"/>
      <c r="AF218" s="62"/>
      <c r="AG218" s="62"/>
      <c r="AH218" s="62"/>
      <c r="AI218" s="62"/>
      <c r="AJ218" s="62"/>
      <c r="AK218" s="62"/>
      <c r="AL218" s="62"/>
      <c r="AM218" s="62"/>
      <c r="AN218" s="62"/>
      <c r="AO218" s="62"/>
      <c r="AP218" s="62"/>
      <c r="AQ218" s="62"/>
      <c r="AR218" s="62"/>
      <c r="AS218" s="62"/>
      <c r="AT218" s="62"/>
      <c r="AU218" s="62"/>
      <c r="AV218" s="62"/>
      <c r="AW218" s="62"/>
      <c r="AX218" s="62"/>
      <c r="AY218" s="62"/>
      <c r="AZ218" s="62"/>
      <c r="BA218" s="62"/>
      <c r="BB218" s="62"/>
      <c r="BC218" s="62"/>
      <c r="BD218" s="62"/>
      <c r="BE218" s="62"/>
      <c r="BF218" s="62"/>
      <c r="BG218" s="62"/>
      <c r="BH218" s="62"/>
      <c r="BI218" s="62"/>
      <c r="BJ218" s="62"/>
      <c r="BK218" s="62"/>
      <c r="BL218" s="62"/>
      <c r="BM218" s="62"/>
      <c r="BN218" s="62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62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62"/>
      <c r="AF219" s="62"/>
      <c r="AG219" s="62"/>
      <c r="AH219" s="62"/>
      <c r="AI219" s="62"/>
      <c r="AJ219" s="62"/>
      <c r="AK219" s="62"/>
      <c r="AL219" s="62"/>
      <c r="AM219" s="62"/>
      <c r="AN219" s="62"/>
      <c r="AO219" s="62"/>
      <c r="AP219" s="62"/>
      <c r="AQ219" s="62"/>
      <c r="AR219" s="62"/>
      <c r="AS219" s="62"/>
      <c r="AT219" s="62"/>
      <c r="AU219" s="62"/>
      <c r="AV219" s="62"/>
      <c r="AW219" s="62"/>
      <c r="AX219" s="62"/>
      <c r="AY219" s="62"/>
      <c r="AZ219" s="62"/>
      <c r="BA219" s="62"/>
      <c r="BB219" s="62"/>
      <c r="BC219" s="62"/>
      <c r="BD219" s="62"/>
      <c r="BE219" s="62"/>
      <c r="BF219" s="62"/>
      <c r="BG219" s="62"/>
      <c r="BH219" s="62"/>
      <c r="BI219" s="62"/>
      <c r="BJ219" s="62"/>
      <c r="BK219" s="62"/>
      <c r="BL219" s="62"/>
      <c r="BM219" s="62"/>
      <c r="BN219" s="62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62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62"/>
      <c r="AF220" s="62"/>
      <c r="AG220" s="62"/>
      <c r="AH220" s="62"/>
      <c r="AI220" s="62"/>
      <c r="AJ220" s="62"/>
      <c r="AK220" s="62"/>
      <c r="AL220" s="62"/>
      <c r="AM220" s="62"/>
      <c r="AN220" s="62"/>
      <c r="AO220" s="62"/>
      <c r="AP220" s="62"/>
      <c r="AQ220" s="62"/>
      <c r="AR220" s="62"/>
      <c r="AS220" s="62"/>
      <c r="AT220" s="62"/>
      <c r="AU220" s="62"/>
      <c r="AV220" s="62"/>
      <c r="AW220" s="62"/>
      <c r="AX220" s="62"/>
      <c r="AY220" s="62"/>
      <c r="AZ220" s="62"/>
      <c r="BA220" s="62"/>
      <c r="BB220" s="62"/>
      <c r="BC220" s="62"/>
      <c r="BD220" s="62"/>
      <c r="BE220" s="62"/>
      <c r="BF220" s="62"/>
      <c r="BG220" s="62"/>
      <c r="BH220" s="62"/>
      <c r="BI220" s="62"/>
      <c r="BJ220" s="62"/>
      <c r="BK220" s="62"/>
      <c r="BL220" s="62"/>
      <c r="BM220" s="62"/>
      <c r="BN220" s="62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62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62"/>
      <c r="AF221" s="62"/>
      <c r="AG221" s="62"/>
      <c r="AH221" s="62"/>
      <c r="AI221" s="62"/>
      <c r="AJ221" s="62"/>
      <c r="AK221" s="62"/>
      <c r="AL221" s="62"/>
      <c r="AM221" s="62"/>
      <c r="AN221" s="62"/>
      <c r="AO221" s="62"/>
      <c r="AP221" s="62"/>
      <c r="AQ221" s="62"/>
      <c r="AR221" s="62"/>
      <c r="AS221" s="62"/>
      <c r="AT221" s="62"/>
      <c r="AU221" s="62"/>
      <c r="AV221" s="62"/>
      <c r="AW221" s="62"/>
      <c r="AX221" s="62"/>
      <c r="AY221" s="62"/>
      <c r="AZ221" s="62"/>
      <c r="BA221" s="62"/>
      <c r="BB221" s="62"/>
      <c r="BC221" s="62"/>
      <c r="BD221" s="62"/>
      <c r="BE221" s="62"/>
      <c r="BF221" s="62"/>
      <c r="BG221" s="62"/>
      <c r="BH221" s="62"/>
      <c r="BI221" s="62"/>
      <c r="BJ221" s="62"/>
      <c r="BK221" s="62"/>
      <c r="BL221" s="62"/>
      <c r="BM221" s="62"/>
      <c r="BN221" s="62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62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62"/>
      <c r="AF222" s="62"/>
      <c r="AG222" s="62"/>
      <c r="AH222" s="62"/>
      <c r="AI222" s="62"/>
      <c r="AJ222" s="62"/>
      <c r="AK222" s="62"/>
      <c r="AL222" s="62"/>
      <c r="AM222" s="62"/>
      <c r="AN222" s="62"/>
      <c r="AO222" s="62"/>
      <c r="AP222" s="62"/>
      <c r="AQ222" s="62"/>
      <c r="AR222" s="62"/>
      <c r="AS222" s="62"/>
      <c r="AT222" s="62"/>
      <c r="AU222" s="62"/>
      <c r="AV222" s="62"/>
      <c r="AW222" s="62"/>
      <c r="AX222" s="62"/>
      <c r="AY222" s="62"/>
      <c r="AZ222" s="62"/>
      <c r="BA222" s="62"/>
      <c r="BB222" s="62"/>
      <c r="BC222" s="62"/>
      <c r="BD222" s="62"/>
      <c r="BE222" s="62"/>
      <c r="BF222" s="62"/>
      <c r="BG222" s="62"/>
      <c r="BH222" s="62"/>
      <c r="BI222" s="62"/>
      <c r="BJ222" s="62"/>
      <c r="BK222" s="62"/>
      <c r="BL222" s="62"/>
      <c r="BM222" s="62"/>
      <c r="BN222" s="62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62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62"/>
      <c r="AF223" s="62"/>
      <c r="AG223" s="62"/>
      <c r="AH223" s="62"/>
      <c r="AI223" s="62"/>
      <c r="AJ223" s="62"/>
      <c r="AK223" s="62"/>
      <c r="AL223" s="62"/>
      <c r="AM223" s="62"/>
      <c r="AN223" s="62"/>
      <c r="AO223" s="62"/>
      <c r="AP223" s="62"/>
      <c r="AQ223" s="62"/>
      <c r="AR223" s="62"/>
      <c r="AS223" s="62"/>
      <c r="AT223" s="62"/>
      <c r="AU223" s="62"/>
      <c r="AV223" s="62"/>
      <c r="AW223" s="62"/>
      <c r="AX223" s="62"/>
      <c r="AY223" s="62"/>
      <c r="AZ223" s="62"/>
      <c r="BA223" s="62"/>
      <c r="BB223" s="62"/>
      <c r="BC223" s="62"/>
      <c r="BD223" s="62"/>
      <c r="BE223" s="62"/>
      <c r="BF223" s="62"/>
      <c r="BG223" s="62"/>
      <c r="BH223" s="62"/>
      <c r="BI223" s="62"/>
      <c r="BJ223" s="62"/>
      <c r="BK223" s="62"/>
      <c r="BL223" s="62"/>
      <c r="BM223" s="62"/>
      <c r="BN223" s="62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62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62"/>
      <c r="AF224" s="62"/>
      <c r="AG224" s="62"/>
      <c r="AH224" s="62"/>
      <c r="AI224" s="62"/>
      <c r="AJ224" s="62"/>
      <c r="AK224" s="62"/>
      <c r="AL224" s="62"/>
      <c r="AM224" s="62"/>
      <c r="AN224" s="62"/>
      <c r="AO224" s="62"/>
      <c r="AP224" s="62"/>
      <c r="AQ224" s="62"/>
      <c r="AR224" s="62"/>
      <c r="AS224" s="62"/>
      <c r="AT224" s="62"/>
      <c r="AU224" s="62"/>
      <c r="AV224" s="62"/>
      <c r="AW224" s="62"/>
      <c r="AX224" s="62"/>
      <c r="AY224" s="62"/>
      <c r="AZ224" s="62"/>
      <c r="BA224" s="62"/>
      <c r="BB224" s="62"/>
      <c r="BC224" s="62"/>
      <c r="BD224" s="62"/>
      <c r="BE224" s="62"/>
      <c r="BF224" s="62"/>
      <c r="BG224" s="62"/>
      <c r="BH224" s="62"/>
      <c r="BI224" s="62"/>
      <c r="BJ224" s="62"/>
      <c r="BK224" s="62"/>
      <c r="BL224" s="62"/>
      <c r="BM224" s="62"/>
      <c r="BN224" s="62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62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62"/>
      <c r="AF225" s="62"/>
      <c r="AG225" s="62"/>
      <c r="AH225" s="62"/>
      <c r="AI225" s="62"/>
      <c r="AJ225" s="62"/>
      <c r="AK225" s="62"/>
      <c r="AL225" s="62"/>
      <c r="AM225" s="62"/>
      <c r="AN225" s="62"/>
      <c r="AO225" s="62"/>
      <c r="AP225" s="62"/>
      <c r="AQ225" s="62"/>
      <c r="AR225" s="62"/>
      <c r="AS225" s="62"/>
      <c r="AT225" s="62"/>
      <c r="AU225" s="62"/>
      <c r="AV225" s="62"/>
      <c r="AW225" s="62"/>
      <c r="AX225" s="62"/>
      <c r="AY225" s="62"/>
      <c r="AZ225" s="62"/>
      <c r="BA225" s="62"/>
      <c r="BB225" s="62"/>
      <c r="BC225" s="62"/>
      <c r="BD225" s="62"/>
      <c r="BE225" s="62"/>
      <c r="BF225" s="62"/>
      <c r="BG225" s="62"/>
      <c r="BH225" s="62"/>
      <c r="BI225" s="62"/>
      <c r="BJ225" s="62"/>
      <c r="BK225" s="62"/>
      <c r="BL225" s="62"/>
      <c r="BM225" s="62"/>
      <c r="BN225" s="62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62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62"/>
      <c r="AF226" s="62"/>
      <c r="AG226" s="62"/>
      <c r="AH226" s="62"/>
      <c r="AI226" s="62"/>
      <c r="AJ226" s="62"/>
      <c r="AK226" s="62"/>
      <c r="AL226" s="62"/>
      <c r="AM226" s="62"/>
      <c r="AN226" s="62"/>
      <c r="AO226" s="62"/>
      <c r="AP226" s="62"/>
      <c r="AQ226" s="62"/>
      <c r="AR226" s="62"/>
      <c r="AS226" s="62"/>
      <c r="AT226" s="62"/>
      <c r="AU226" s="62"/>
      <c r="AV226" s="62"/>
      <c r="AW226" s="62"/>
      <c r="AX226" s="62"/>
      <c r="AY226" s="62"/>
      <c r="AZ226" s="62"/>
      <c r="BA226" s="62"/>
      <c r="BB226" s="62"/>
      <c r="BC226" s="62"/>
      <c r="BD226" s="62"/>
      <c r="BE226" s="62"/>
      <c r="BF226" s="62"/>
      <c r="BG226" s="62"/>
      <c r="BH226" s="62"/>
      <c r="BI226" s="62"/>
      <c r="BJ226" s="62"/>
      <c r="BK226" s="62"/>
      <c r="BL226" s="62"/>
      <c r="BM226" s="62"/>
      <c r="BN226" s="62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62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62"/>
      <c r="AF227" s="62"/>
      <c r="AG227" s="62"/>
      <c r="AH227" s="62"/>
      <c r="AI227" s="62"/>
      <c r="AJ227" s="62"/>
      <c r="AK227" s="62"/>
      <c r="AL227" s="62"/>
      <c r="AM227" s="62"/>
      <c r="AN227" s="62"/>
      <c r="AO227" s="62"/>
      <c r="AP227" s="62"/>
      <c r="AQ227" s="62"/>
      <c r="AR227" s="62"/>
      <c r="AS227" s="62"/>
      <c r="AT227" s="62"/>
      <c r="AU227" s="62"/>
      <c r="AV227" s="62"/>
      <c r="AW227" s="62"/>
      <c r="AX227" s="62"/>
      <c r="AY227" s="62"/>
      <c r="AZ227" s="62"/>
      <c r="BA227" s="62"/>
      <c r="BB227" s="62"/>
      <c r="BC227" s="62"/>
      <c r="BD227" s="62"/>
      <c r="BE227" s="62"/>
      <c r="BF227" s="62"/>
      <c r="BG227" s="62"/>
      <c r="BH227" s="62"/>
      <c r="BI227" s="62"/>
      <c r="BJ227" s="62"/>
      <c r="BK227" s="62"/>
      <c r="BL227" s="62"/>
      <c r="BM227" s="62"/>
      <c r="BN227" s="62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62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62"/>
      <c r="AF228" s="62"/>
      <c r="AG228" s="62"/>
      <c r="AH228" s="62"/>
      <c r="AI228" s="62"/>
      <c r="AJ228" s="62"/>
      <c r="AK228" s="62"/>
      <c r="AL228" s="62"/>
      <c r="AM228" s="62"/>
      <c r="AN228" s="62"/>
      <c r="AO228" s="62"/>
      <c r="AP228" s="62"/>
      <c r="AQ228" s="62"/>
      <c r="AR228" s="62"/>
      <c r="AS228" s="62"/>
      <c r="AT228" s="62"/>
      <c r="AU228" s="62"/>
      <c r="AV228" s="62"/>
      <c r="AW228" s="62"/>
      <c r="AX228" s="62"/>
      <c r="AY228" s="62"/>
      <c r="AZ228" s="62"/>
      <c r="BA228" s="62"/>
      <c r="BB228" s="62"/>
      <c r="BC228" s="62"/>
      <c r="BD228" s="62"/>
      <c r="BE228" s="62"/>
      <c r="BF228" s="62"/>
      <c r="BG228" s="62"/>
      <c r="BH228" s="62"/>
      <c r="BI228" s="62"/>
      <c r="BJ228" s="62"/>
      <c r="BK228" s="62"/>
      <c r="BL228" s="62"/>
      <c r="BM228" s="62"/>
      <c r="BN228" s="62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62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62"/>
      <c r="AF229" s="62"/>
      <c r="AG229" s="62"/>
      <c r="AH229" s="62"/>
      <c r="AI229" s="62"/>
      <c r="AJ229" s="62"/>
      <c r="AK229" s="62"/>
      <c r="AL229" s="62"/>
      <c r="AM229" s="62"/>
      <c r="AN229" s="62"/>
      <c r="AO229" s="62"/>
      <c r="AP229" s="62"/>
      <c r="AQ229" s="62"/>
      <c r="AR229" s="62"/>
      <c r="AS229" s="62"/>
      <c r="AT229" s="62"/>
      <c r="AU229" s="62"/>
      <c r="AV229" s="62"/>
      <c r="AW229" s="62"/>
      <c r="AX229" s="62"/>
      <c r="AY229" s="62"/>
      <c r="AZ229" s="62"/>
      <c r="BA229" s="62"/>
      <c r="BB229" s="62"/>
      <c r="BC229" s="62"/>
      <c r="BD229" s="62"/>
      <c r="BE229" s="62"/>
      <c r="BF229" s="62"/>
      <c r="BG229" s="62"/>
      <c r="BH229" s="62"/>
      <c r="BI229" s="62"/>
      <c r="BJ229" s="62"/>
      <c r="BK229" s="62"/>
      <c r="BL229" s="62"/>
      <c r="BM229" s="62"/>
      <c r="BN229" s="62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62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62"/>
      <c r="AF230" s="62"/>
      <c r="AG230" s="62"/>
      <c r="AH230" s="62"/>
      <c r="AI230" s="62"/>
      <c r="AJ230" s="62"/>
      <c r="AK230" s="62"/>
      <c r="AL230" s="62"/>
      <c r="AM230" s="62"/>
      <c r="AN230" s="62"/>
      <c r="AO230" s="62"/>
      <c r="AP230" s="62"/>
      <c r="AQ230" s="62"/>
      <c r="AR230" s="62"/>
      <c r="AS230" s="62"/>
      <c r="AT230" s="62"/>
      <c r="AU230" s="62"/>
      <c r="AV230" s="62"/>
      <c r="AW230" s="62"/>
      <c r="AX230" s="62"/>
      <c r="AY230" s="62"/>
      <c r="AZ230" s="62"/>
      <c r="BA230" s="62"/>
      <c r="BB230" s="62"/>
      <c r="BC230" s="62"/>
      <c r="BD230" s="62"/>
      <c r="BE230" s="62"/>
      <c r="BF230" s="62"/>
      <c r="BG230" s="62"/>
      <c r="BH230" s="62"/>
      <c r="BI230" s="62"/>
      <c r="BJ230" s="62"/>
      <c r="BK230" s="62"/>
      <c r="BL230" s="62"/>
      <c r="BM230" s="62"/>
      <c r="BN230" s="62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62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62"/>
      <c r="AF231" s="62"/>
      <c r="AG231" s="62"/>
      <c r="AH231" s="62"/>
      <c r="AI231" s="62"/>
      <c r="AJ231" s="62"/>
      <c r="AK231" s="62"/>
      <c r="AL231" s="62"/>
      <c r="AM231" s="62"/>
      <c r="AN231" s="62"/>
      <c r="AO231" s="62"/>
      <c r="AP231" s="62"/>
      <c r="AQ231" s="62"/>
      <c r="AR231" s="62"/>
      <c r="AS231" s="62"/>
      <c r="AT231" s="62"/>
      <c r="AU231" s="62"/>
      <c r="AV231" s="62"/>
      <c r="AW231" s="62"/>
      <c r="AX231" s="62"/>
      <c r="AY231" s="62"/>
      <c r="AZ231" s="62"/>
      <c r="BA231" s="62"/>
      <c r="BB231" s="62"/>
      <c r="BC231" s="62"/>
      <c r="BD231" s="62"/>
      <c r="BE231" s="62"/>
      <c r="BF231" s="62"/>
      <c r="BG231" s="62"/>
      <c r="BH231" s="62"/>
      <c r="BI231" s="62"/>
      <c r="BJ231" s="62"/>
      <c r="BK231" s="62"/>
      <c r="BL231" s="62"/>
      <c r="BM231" s="62"/>
      <c r="BN231" s="62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62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62"/>
      <c r="AF232" s="62"/>
      <c r="AG232" s="62"/>
      <c r="AH232" s="62"/>
      <c r="AI232" s="62"/>
      <c r="AJ232" s="62"/>
      <c r="AK232" s="62"/>
      <c r="AL232" s="62"/>
      <c r="AM232" s="62"/>
      <c r="AN232" s="62"/>
      <c r="AO232" s="62"/>
      <c r="AP232" s="62"/>
      <c r="AQ232" s="62"/>
      <c r="AR232" s="62"/>
      <c r="AS232" s="62"/>
      <c r="AT232" s="62"/>
      <c r="AU232" s="62"/>
      <c r="AV232" s="62"/>
      <c r="AW232" s="62"/>
      <c r="AX232" s="62"/>
      <c r="AY232" s="62"/>
      <c r="AZ232" s="62"/>
      <c r="BA232" s="62"/>
      <c r="BB232" s="62"/>
      <c r="BC232" s="62"/>
      <c r="BD232" s="62"/>
      <c r="BE232" s="62"/>
      <c r="BF232" s="62"/>
      <c r="BG232" s="62"/>
      <c r="BH232" s="62"/>
      <c r="BI232" s="62"/>
      <c r="BJ232" s="62"/>
      <c r="BK232" s="62"/>
      <c r="BL232" s="62"/>
      <c r="BM232" s="62"/>
      <c r="BN232" s="62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62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62"/>
      <c r="AF233" s="62"/>
      <c r="AG233" s="62"/>
      <c r="AH233" s="62"/>
      <c r="AI233" s="62"/>
      <c r="AJ233" s="62"/>
      <c r="AK233" s="62"/>
      <c r="AL233" s="62"/>
      <c r="AM233" s="62"/>
      <c r="AN233" s="62"/>
      <c r="AO233" s="62"/>
      <c r="AP233" s="62"/>
      <c r="AQ233" s="62"/>
      <c r="AR233" s="62"/>
      <c r="AS233" s="62"/>
      <c r="AT233" s="62"/>
      <c r="AU233" s="62"/>
      <c r="AV233" s="62"/>
      <c r="AW233" s="62"/>
      <c r="AX233" s="62"/>
      <c r="AY233" s="62"/>
      <c r="AZ233" s="62"/>
      <c r="BA233" s="62"/>
      <c r="BB233" s="62"/>
      <c r="BC233" s="62"/>
      <c r="BD233" s="62"/>
      <c r="BE233" s="62"/>
      <c r="BF233" s="62"/>
      <c r="BG233" s="62"/>
      <c r="BH233" s="62"/>
      <c r="BI233" s="62"/>
      <c r="BJ233" s="62"/>
      <c r="BK233" s="62"/>
      <c r="BL233" s="62"/>
      <c r="BM233" s="62"/>
      <c r="BN233" s="62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62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/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2"/>
      <c r="BJ234" s="62"/>
      <c r="BK234" s="62"/>
      <c r="BL234" s="62"/>
      <c r="BM234" s="62"/>
      <c r="BN234" s="62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62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2"/>
      <c r="BJ235" s="62"/>
      <c r="BK235" s="62"/>
      <c r="BL235" s="62"/>
      <c r="BM235" s="62"/>
      <c r="BN235" s="62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62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62"/>
      <c r="AF236" s="62"/>
      <c r="AG236" s="62"/>
      <c r="AH236" s="62"/>
      <c r="AI236" s="62"/>
      <c r="AJ236" s="62"/>
      <c r="AK236" s="62"/>
      <c r="AL236" s="62"/>
      <c r="AM236" s="62"/>
      <c r="AN236" s="62"/>
      <c r="AO236" s="62"/>
      <c r="AP236" s="62"/>
      <c r="AQ236" s="62"/>
      <c r="AR236" s="62"/>
      <c r="AS236" s="62"/>
      <c r="AT236" s="62"/>
      <c r="AU236" s="62"/>
      <c r="AV236" s="62"/>
      <c r="AW236" s="62"/>
      <c r="AX236" s="62"/>
      <c r="AY236" s="62"/>
      <c r="AZ236" s="62"/>
      <c r="BA236" s="62"/>
      <c r="BB236" s="62"/>
      <c r="BC236" s="62"/>
      <c r="BD236" s="62"/>
      <c r="BE236" s="62"/>
      <c r="BF236" s="62"/>
      <c r="BG236" s="62"/>
      <c r="BH236" s="62"/>
      <c r="BI236" s="62"/>
      <c r="BJ236" s="62"/>
      <c r="BK236" s="62"/>
      <c r="BL236" s="62"/>
      <c r="BM236" s="62"/>
      <c r="BN236" s="62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62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62"/>
      <c r="AF237" s="62"/>
      <c r="AG237" s="62"/>
      <c r="AH237" s="62"/>
      <c r="AI237" s="62"/>
      <c r="AJ237" s="62"/>
      <c r="AK237" s="62"/>
      <c r="AL237" s="62"/>
      <c r="AM237" s="62"/>
      <c r="AN237" s="62"/>
      <c r="AO237" s="62"/>
      <c r="AP237" s="62"/>
      <c r="AQ237" s="62"/>
      <c r="AR237" s="62"/>
      <c r="AS237" s="62"/>
      <c r="AT237" s="62"/>
      <c r="AU237" s="62"/>
      <c r="AV237" s="62"/>
      <c r="AW237" s="62"/>
      <c r="AX237" s="62"/>
      <c r="AY237" s="62"/>
      <c r="AZ237" s="62"/>
      <c r="BA237" s="62"/>
      <c r="BB237" s="62"/>
      <c r="BC237" s="62"/>
      <c r="BD237" s="62"/>
      <c r="BE237" s="62"/>
      <c r="BF237" s="62"/>
      <c r="BG237" s="62"/>
      <c r="BH237" s="62"/>
      <c r="BI237" s="62"/>
      <c r="BJ237" s="62"/>
      <c r="BK237" s="62"/>
      <c r="BL237" s="62"/>
      <c r="BM237" s="62"/>
      <c r="BN237" s="62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62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62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62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62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62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62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62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62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62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62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62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  <c r="AO248" s="62"/>
      <c r="AP248" s="62"/>
      <c r="AQ248" s="62"/>
      <c r="AR248" s="62"/>
      <c r="AS248" s="62"/>
      <c r="AT248" s="62"/>
      <c r="AU248" s="62"/>
      <c r="AV248" s="62"/>
      <c r="AW248" s="62"/>
      <c r="AX248" s="62"/>
      <c r="AY248" s="62"/>
      <c r="AZ248" s="62"/>
      <c r="BA248" s="62"/>
      <c r="BB248" s="62"/>
      <c r="BC248" s="62"/>
      <c r="BD248" s="62"/>
      <c r="BE248" s="62"/>
      <c r="BF248" s="62"/>
      <c r="BG248" s="62"/>
      <c r="BH248" s="62"/>
      <c r="BI248" s="62"/>
      <c r="BJ248" s="62"/>
      <c r="BK248" s="62"/>
      <c r="BL248" s="62"/>
      <c r="BM248" s="62"/>
      <c r="BN248" s="62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62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62"/>
      <c r="AF249" s="62"/>
      <c r="AG249" s="62"/>
      <c r="AH249" s="62"/>
      <c r="AI249" s="62"/>
      <c r="AJ249" s="62"/>
      <c r="AK249" s="62"/>
      <c r="AL249" s="62"/>
      <c r="AM249" s="62"/>
      <c r="AN249" s="62"/>
      <c r="AO249" s="62"/>
      <c r="AP249" s="62"/>
      <c r="AQ249" s="62"/>
      <c r="AR249" s="62"/>
      <c r="AS249" s="62"/>
      <c r="AT249" s="62"/>
      <c r="AU249" s="62"/>
      <c r="AV249" s="62"/>
      <c r="AW249" s="62"/>
      <c r="AX249" s="62"/>
      <c r="AY249" s="62"/>
      <c r="AZ249" s="62"/>
      <c r="BA249" s="62"/>
      <c r="BB249" s="62"/>
      <c r="BC249" s="62"/>
      <c r="BD249" s="62"/>
      <c r="BE249" s="62"/>
      <c r="BF249" s="62"/>
      <c r="BG249" s="62"/>
      <c r="BH249" s="62"/>
      <c r="BI249" s="62"/>
      <c r="BJ249" s="62"/>
      <c r="BK249" s="62"/>
      <c r="BL249" s="62"/>
      <c r="BM249" s="62"/>
      <c r="BN249" s="62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62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P250" s="62"/>
      <c r="AQ250" s="62"/>
      <c r="AR250" s="62"/>
      <c r="AS250" s="62"/>
      <c r="AT250" s="62"/>
      <c r="AU250" s="62"/>
      <c r="AV250" s="62"/>
      <c r="AW250" s="62"/>
      <c r="AX250" s="62"/>
      <c r="AY250" s="62"/>
      <c r="AZ250" s="62"/>
      <c r="BA250" s="62"/>
      <c r="BB250" s="62"/>
      <c r="BC250" s="62"/>
      <c r="BD250" s="62"/>
      <c r="BE250" s="62"/>
      <c r="BF250" s="62"/>
      <c r="BG250" s="62"/>
      <c r="BH250" s="62"/>
      <c r="BI250" s="62"/>
      <c r="BJ250" s="62"/>
      <c r="BK250" s="62"/>
      <c r="BL250" s="62"/>
      <c r="BM250" s="62"/>
      <c r="BN250" s="62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62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62"/>
      <c r="AF251" s="62"/>
      <c r="AG251" s="62"/>
      <c r="AH251" s="62"/>
      <c r="AI251" s="62"/>
      <c r="AJ251" s="62"/>
      <c r="AK251" s="62"/>
      <c r="AL251" s="62"/>
      <c r="AM251" s="62"/>
      <c r="AN251" s="62"/>
      <c r="AO251" s="62"/>
      <c r="AP251" s="62"/>
      <c r="AQ251" s="62"/>
      <c r="AR251" s="62"/>
      <c r="AS251" s="62"/>
      <c r="AT251" s="62"/>
      <c r="AU251" s="62"/>
      <c r="AV251" s="62"/>
      <c r="AW251" s="62"/>
      <c r="AX251" s="62"/>
      <c r="AY251" s="62"/>
      <c r="AZ251" s="62"/>
      <c r="BA251" s="62"/>
      <c r="BB251" s="62"/>
      <c r="BC251" s="62"/>
      <c r="BD251" s="62"/>
      <c r="BE251" s="62"/>
      <c r="BF251" s="62"/>
      <c r="BG251" s="62"/>
      <c r="BH251" s="62"/>
      <c r="BI251" s="62"/>
      <c r="BJ251" s="62"/>
      <c r="BK251" s="62"/>
      <c r="BL251" s="62"/>
      <c r="BM251" s="62"/>
      <c r="BN251" s="62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62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62"/>
      <c r="AF252" s="62"/>
      <c r="AG252" s="62"/>
      <c r="AH252" s="62"/>
      <c r="AI252" s="62"/>
      <c r="AJ252" s="62"/>
      <c r="AK252" s="62"/>
      <c r="AL252" s="62"/>
      <c r="AM252" s="62"/>
      <c r="AN252" s="62"/>
      <c r="AO252" s="62"/>
      <c r="AP252" s="62"/>
      <c r="AQ252" s="62"/>
      <c r="AR252" s="62"/>
      <c r="AS252" s="62"/>
      <c r="AT252" s="62"/>
      <c r="AU252" s="62"/>
      <c r="AV252" s="62"/>
      <c r="AW252" s="62"/>
      <c r="AX252" s="62"/>
      <c r="AY252" s="62"/>
      <c r="AZ252" s="62"/>
      <c r="BA252" s="62"/>
      <c r="BB252" s="62"/>
      <c r="BC252" s="62"/>
      <c r="BD252" s="62"/>
      <c r="BE252" s="62"/>
      <c r="BF252" s="62"/>
      <c r="BG252" s="62"/>
      <c r="BH252" s="62"/>
      <c r="BI252" s="62"/>
      <c r="BJ252" s="62"/>
      <c r="BK252" s="62"/>
      <c r="BL252" s="62"/>
      <c r="BM252" s="62"/>
      <c r="BN252" s="62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62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62"/>
      <c r="AF253" s="62"/>
      <c r="AG253" s="62"/>
      <c r="AH253" s="62"/>
      <c r="AI253" s="62"/>
      <c r="AJ253" s="62"/>
      <c r="AK253" s="62"/>
      <c r="AL253" s="62"/>
      <c r="AM253" s="62"/>
      <c r="AN253" s="62"/>
      <c r="AO253" s="62"/>
      <c r="AP253" s="62"/>
      <c r="AQ253" s="62"/>
      <c r="AR253" s="62"/>
      <c r="AS253" s="62"/>
      <c r="AT253" s="62"/>
      <c r="AU253" s="62"/>
      <c r="AV253" s="62"/>
      <c r="AW253" s="62"/>
      <c r="AX253" s="62"/>
      <c r="AY253" s="62"/>
      <c r="AZ253" s="62"/>
      <c r="BA253" s="62"/>
      <c r="BB253" s="62"/>
      <c r="BC253" s="62"/>
      <c r="BD253" s="62"/>
      <c r="BE253" s="62"/>
      <c r="BF253" s="62"/>
      <c r="BG253" s="62"/>
      <c r="BH253" s="62"/>
      <c r="BI253" s="62"/>
      <c r="BJ253" s="62"/>
      <c r="BK253" s="62"/>
      <c r="BL253" s="62"/>
      <c r="BM253" s="62"/>
      <c r="BN253" s="62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62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62"/>
      <c r="AF254" s="62"/>
      <c r="AG254" s="62"/>
      <c r="AH254" s="62"/>
      <c r="AI254" s="62"/>
      <c r="AJ254" s="62"/>
      <c r="AK254" s="62"/>
      <c r="AL254" s="62"/>
      <c r="AM254" s="62"/>
      <c r="AN254" s="62"/>
      <c r="AO254" s="62"/>
      <c r="AP254" s="62"/>
      <c r="AQ254" s="62"/>
      <c r="AR254" s="62"/>
      <c r="AS254" s="62"/>
      <c r="AT254" s="62"/>
      <c r="AU254" s="62"/>
      <c r="AV254" s="62"/>
      <c r="AW254" s="62"/>
      <c r="AX254" s="62"/>
      <c r="AY254" s="62"/>
      <c r="AZ254" s="62"/>
      <c r="BA254" s="62"/>
      <c r="BB254" s="62"/>
      <c r="BC254" s="62"/>
      <c r="BD254" s="62"/>
      <c r="BE254" s="62"/>
      <c r="BF254" s="62"/>
      <c r="BG254" s="62"/>
      <c r="BH254" s="62"/>
      <c r="BI254" s="62"/>
      <c r="BJ254" s="62"/>
      <c r="BK254" s="62"/>
      <c r="BL254" s="62"/>
      <c r="BM254" s="62"/>
      <c r="BN254" s="62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62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62"/>
      <c r="AF255" s="62"/>
      <c r="AG255" s="62"/>
      <c r="AH255" s="62"/>
      <c r="AI255" s="62"/>
      <c r="AJ255" s="62"/>
      <c r="AK255" s="62"/>
      <c r="AL255" s="62"/>
      <c r="AM255" s="62"/>
      <c r="AN255" s="62"/>
      <c r="AO255" s="62"/>
      <c r="AP255" s="62"/>
      <c r="AQ255" s="62"/>
      <c r="AR255" s="62"/>
      <c r="AS255" s="62"/>
      <c r="AT255" s="62"/>
      <c r="AU255" s="62"/>
      <c r="AV255" s="62"/>
      <c r="AW255" s="62"/>
      <c r="AX255" s="62"/>
      <c r="AY255" s="62"/>
      <c r="AZ255" s="62"/>
      <c r="BA255" s="62"/>
      <c r="BB255" s="62"/>
      <c r="BC255" s="62"/>
      <c r="BD255" s="62"/>
      <c r="BE255" s="62"/>
      <c r="BF255" s="62"/>
      <c r="BG255" s="62"/>
      <c r="BH255" s="62"/>
      <c r="BI255" s="62"/>
      <c r="BJ255" s="62"/>
      <c r="BK255" s="62"/>
      <c r="BL255" s="62"/>
      <c r="BM255" s="62"/>
      <c r="BN255" s="62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62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62"/>
      <c r="AF256" s="62"/>
      <c r="AG256" s="62"/>
      <c r="AH256" s="62"/>
      <c r="AI256" s="62"/>
      <c r="AJ256" s="62"/>
      <c r="AK256" s="62"/>
      <c r="AL256" s="62"/>
      <c r="AM256" s="62"/>
      <c r="AN256" s="62"/>
      <c r="AO256" s="62"/>
      <c r="AP256" s="62"/>
      <c r="AQ256" s="62"/>
      <c r="AR256" s="62"/>
      <c r="AS256" s="62"/>
      <c r="AT256" s="62"/>
      <c r="AU256" s="62"/>
      <c r="AV256" s="62"/>
      <c r="AW256" s="62"/>
      <c r="AX256" s="62"/>
      <c r="AY256" s="62"/>
      <c r="AZ256" s="62"/>
      <c r="BA256" s="62"/>
      <c r="BB256" s="62"/>
      <c r="BC256" s="62"/>
      <c r="BD256" s="62"/>
      <c r="BE256" s="62"/>
      <c r="BF256" s="62"/>
      <c r="BG256" s="62"/>
      <c r="BH256" s="62"/>
      <c r="BI256" s="62"/>
      <c r="BJ256" s="62"/>
      <c r="BK256" s="62"/>
      <c r="BL256" s="62"/>
      <c r="BM256" s="62"/>
      <c r="BN256" s="62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62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62"/>
      <c r="AF257" s="62"/>
      <c r="AG257" s="62"/>
      <c r="AH257" s="62"/>
      <c r="AI257" s="62"/>
      <c r="AJ257" s="62"/>
      <c r="AK257" s="62"/>
      <c r="AL257" s="62"/>
      <c r="AM257" s="62"/>
      <c r="AN257" s="62"/>
      <c r="AO257" s="62"/>
      <c r="AP257" s="62"/>
      <c r="AQ257" s="62"/>
      <c r="AR257" s="62"/>
      <c r="AS257" s="62"/>
      <c r="AT257" s="62"/>
      <c r="AU257" s="62"/>
      <c r="AV257" s="62"/>
      <c r="AW257" s="62"/>
      <c r="AX257" s="62"/>
      <c r="AY257" s="62"/>
      <c r="AZ257" s="62"/>
      <c r="BA257" s="62"/>
      <c r="BB257" s="62"/>
      <c r="BC257" s="62"/>
      <c r="BD257" s="62"/>
      <c r="BE257" s="62"/>
      <c r="BF257" s="62"/>
      <c r="BG257" s="62"/>
      <c r="BH257" s="62"/>
      <c r="BI257" s="62"/>
      <c r="BJ257" s="62"/>
      <c r="BK257" s="62"/>
      <c r="BL257" s="62"/>
      <c r="BM257" s="62"/>
      <c r="BN257" s="62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62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62"/>
      <c r="AF258" s="62"/>
      <c r="AG258" s="62"/>
      <c r="AH258" s="62"/>
      <c r="AI258" s="62"/>
      <c r="AJ258" s="62"/>
      <c r="AK258" s="62"/>
      <c r="AL258" s="62"/>
      <c r="AM258" s="62"/>
      <c r="AN258" s="62"/>
      <c r="AO258" s="62"/>
      <c r="AP258" s="62"/>
      <c r="AQ258" s="62"/>
      <c r="AR258" s="62"/>
      <c r="AS258" s="62"/>
      <c r="AT258" s="62"/>
      <c r="AU258" s="62"/>
      <c r="AV258" s="62"/>
      <c r="AW258" s="62"/>
      <c r="AX258" s="62"/>
      <c r="AY258" s="62"/>
      <c r="AZ258" s="62"/>
      <c r="BA258" s="62"/>
      <c r="BB258" s="62"/>
      <c r="BC258" s="62"/>
      <c r="BD258" s="62"/>
      <c r="BE258" s="62"/>
      <c r="BF258" s="62"/>
      <c r="BG258" s="62"/>
      <c r="BH258" s="62"/>
      <c r="BI258" s="62"/>
      <c r="BJ258" s="62"/>
      <c r="BK258" s="62"/>
      <c r="BL258" s="62"/>
      <c r="BM258" s="62"/>
      <c r="BN258" s="62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62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62"/>
      <c r="AF259" s="62"/>
      <c r="AG259" s="62"/>
      <c r="AH259" s="62"/>
      <c r="AI259" s="62"/>
      <c r="AJ259" s="62"/>
      <c r="AK259" s="62"/>
      <c r="AL259" s="62"/>
      <c r="AM259" s="62"/>
      <c r="AN259" s="62"/>
      <c r="AO259" s="62"/>
      <c r="AP259" s="62"/>
      <c r="AQ259" s="62"/>
      <c r="AR259" s="62"/>
      <c r="AS259" s="62"/>
      <c r="AT259" s="62"/>
      <c r="AU259" s="62"/>
      <c r="AV259" s="62"/>
      <c r="AW259" s="62"/>
      <c r="AX259" s="62"/>
      <c r="AY259" s="62"/>
      <c r="AZ259" s="62"/>
      <c r="BA259" s="62"/>
      <c r="BB259" s="62"/>
      <c r="BC259" s="62"/>
      <c r="BD259" s="62"/>
      <c r="BE259" s="62"/>
      <c r="BF259" s="62"/>
      <c r="BG259" s="62"/>
      <c r="BH259" s="62"/>
      <c r="BI259" s="62"/>
      <c r="BJ259" s="62"/>
      <c r="BK259" s="62"/>
      <c r="BL259" s="62"/>
      <c r="BM259" s="62"/>
      <c r="BN259" s="62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62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62"/>
      <c r="AF260" s="62"/>
      <c r="AG260" s="62"/>
      <c r="AH260" s="62"/>
      <c r="AI260" s="62"/>
      <c r="AJ260" s="62"/>
      <c r="AK260" s="62"/>
      <c r="AL260" s="62"/>
      <c r="AM260" s="62"/>
      <c r="AN260" s="62"/>
      <c r="AO260" s="62"/>
      <c r="AP260" s="62"/>
      <c r="AQ260" s="62"/>
      <c r="AR260" s="62"/>
      <c r="AS260" s="62"/>
      <c r="AT260" s="62"/>
      <c r="AU260" s="62"/>
      <c r="AV260" s="62"/>
      <c r="AW260" s="62"/>
      <c r="AX260" s="62"/>
      <c r="AY260" s="62"/>
      <c r="AZ260" s="62"/>
      <c r="BA260" s="62"/>
      <c r="BB260" s="62"/>
      <c r="BC260" s="62"/>
      <c r="BD260" s="62"/>
      <c r="BE260" s="62"/>
      <c r="BF260" s="62"/>
      <c r="BG260" s="62"/>
      <c r="BH260" s="62"/>
      <c r="BI260" s="62"/>
      <c r="BJ260" s="62"/>
      <c r="BK260" s="62"/>
      <c r="BL260" s="62"/>
      <c r="BM260" s="62"/>
      <c r="BN260" s="62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62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62"/>
      <c r="AF261" s="62"/>
      <c r="AG261" s="62"/>
      <c r="AH261" s="62"/>
      <c r="AI261" s="62"/>
      <c r="AJ261" s="62"/>
      <c r="AK261" s="62"/>
      <c r="AL261" s="62"/>
      <c r="AM261" s="62"/>
      <c r="AN261" s="62"/>
      <c r="AO261" s="62"/>
      <c r="AP261" s="62"/>
      <c r="AQ261" s="62"/>
      <c r="AR261" s="62"/>
      <c r="AS261" s="62"/>
      <c r="AT261" s="62"/>
      <c r="AU261" s="62"/>
      <c r="AV261" s="62"/>
      <c r="AW261" s="62"/>
      <c r="AX261" s="62"/>
      <c r="AY261" s="62"/>
      <c r="AZ261" s="62"/>
      <c r="BA261" s="62"/>
      <c r="BB261" s="62"/>
      <c r="BC261" s="62"/>
      <c r="BD261" s="62"/>
      <c r="BE261" s="62"/>
      <c r="BF261" s="62"/>
      <c r="BG261" s="62"/>
      <c r="BH261" s="62"/>
      <c r="BI261" s="62"/>
      <c r="BJ261" s="62"/>
      <c r="BK261" s="62"/>
      <c r="BL261" s="62"/>
      <c r="BM261" s="62"/>
      <c r="BN261" s="62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62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62"/>
      <c r="AF262" s="62"/>
      <c r="AG262" s="62"/>
      <c r="AH262" s="62"/>
      <c r="AI262" s="62"/>
      <c r="AJ262" s="62"/>
      <c r="AK262" s="62"/>
      <c r="AL262" s="62"/>
      <c r="AM262" s="62"/>
      <c r="AN262" s="62"/>
      <c r="AO262" s="62"/>
      <c r="AP262" s="62"/>
      <c r="AQ262" s="62"/>
      <c r="AR262" s="62"/>
      <c r="AS262" s="62"/>
      <c r="AT262" s="62"/>
      <c r="AU262" s="62"/>
      <c r="AV262" s="62"/>
      <c r="AW262" s="62"/>
      <c r="AX262" s="62"/>
      <c r="AY262" s="62"/>
      <c r="AZ262" s="62"/>
      <c r="BA262" s="62"/>
      <c r="BB262" s="62"/>
      <c r="BC262" s="62"/>
      <c r="BD262" s="62"/>
      <c r="BE262" s="62"/>
      <c r="BF262" s="62"/>
      <c r="BG262" s="62"/>
      <c r="BH262" s="62"/>
      <c r="BI262" s="62"/>
      <c r="BJ262" s="62"/>
      <c r="BK262" s="62"/>
      <c r="BL262" s="62"/>
      <c r="BM262" s="62"/>
      <c r="BN262" s="62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62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62"/>
      <c r="AF263" s="62"/>
      <c r="AG263" s="62"/>
      <c r="AH263" s="62"/>
      <c r="AI263" s="62"/>
      <c r="AJ263" s="62"/>
      <c r="AK263" s="62"/>
      <c r="AL263" s="62"/>
      <c r="AM263" s="62"/>
      <c r="AN263" s="62"/>
      <c r="AO263" s="62"/>
      <c r="AP263" s="62"/>
      <c r="AQ263" s="62"/>
      <c r="AR263" s="62"/>
      <c r="AS263" s="62"/>
      <c r="AT263" s="62"/>
      <c r="AU263" s="62"/>
      <c r="AV263" s="62"/>
      <c r="AW263" s="62"/>
      <c r="AX263" s="62"/>
      <c r="AY263" s="62"/>
      <c r="AZ263" s="62"/>
      <c r="BA263" s="62"/>
      <c r="BB263" s="62"/>
      <c r="BC263" s="62"/>
      <c r="BD263" s="62"/>
      <c r="BE263" s="62"/>
      <c r="BF263" s="62"/>
      <c r="BG263" s="62"/>
      <c r="BH263" s="62"/>
      <c r="BI263" s="62"/>
      <c r="BJ263" s="62"/>
      <c r="BK263" s="62"/>
      <c r="BL263" s="62"/>
      <c r="BM263" s="62"/>
      <c r="BN263" s="62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62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62"/>
      <c r="AF264" s="62"/>
      <c r="AG264" s="62"/>
      <c r="AH264" s="62"/>
      <c r="AI264" s="62"/>
      <c r="AJ264" s="62"/>
      <c r="AK264" s="62"/>
      <c r="AL264" s="62"/>
      <c r="AM264" s="62"/>
      <c r="AN264" s="62"/>
      <c r="AO264" s="62"/>
      <c r="AP264" s="62"/>
      <c r="AQ264" s="62"/>
      <c r="AR264" s="62"/>
      <c r="AS264" s="62"/>
      <c r="AT264" s="62"/>
      <c r="AU264" s="62"/>
      <c r="AV264" s="62"/>
      <c r="AW264" s="62"/>
      <c r="AX264" s="62"/>
      <c r="AY264" s="62"/>
      <c r="AZ264" s="62"/>
      <c r="BA264" s="62"/>
      <c r="BB264" s="62"/>
      <c r="BC264" s="62"/>
      <c r="BD264" s="62"/>
      <c r="BE264" s="62"/>
      <c r="BF264" s="62"/>
      <c r="BG264" s="62"/>
      <c r="BH264" s="62"/>
      <c r="BI264" s="62"/>
      <c r="BJ264" s="62"/>
      <c r="BK264" s="62"/>
      <c r="BL264" s="62"/>
      <c r="BM264" s="62"/>
      <c r="BN264" s="62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62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62"/>
      <c r="AF265" s="62"/>
      <c r="AG265" s="62"/>
      <c r="AH265" s="62"/>
      <c r="AI265" s="62"/>
      <c r="AJ265" s="62"/>
      <c r="AK265" s="62"/>
      <c r="AL265" s="62"/>
      <c r="AM265" s="62"/>
      <c r="AN265" s="62"/>
      <c r="AO265" s="62"/>
      <c r="AP265" s="62"/>
      <c r="AQ265" s="62"/>
      <c r="AR265" s="62"/>
      <c r="AS265" s="62"/>
      <c r="AT265" s="62"/>
      <c r="AU265" s="62"/>
      <c r="AV265" s="62"/>
      <c r="AW265" s="62"/>
      <c r="AX265" s="62"/>
      <c r="AY265" s="62"/>
      <c r="AZ265" s="62"/>
      <c r="BA265" s="62"/>
      <c r="BB265" s="62"/>
      <c r="BC265" s="62"/>
      <c r="BD265" s="62"/>
      <c r="BE265" s="62"/>
      <c r="BF265" s="62"/>
      <c r="BG265" s="62"/>
      <c r="BH265" s="62"/>
      <c r="BI265" s="62"/>
      <c r="BJ265" s="62"/>
      <c r="BK265" s="62"/>
      <c r="BL265" s="62"/>
      <c r="BM265" s="62"/>
      <c r="BN265" s="62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62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62"/>
      <c r="AF266" s="62"/>
      <c r="AG266" s="62"/>
      <c r="AH266" s="62"/>
      <c r="AI266" s="62"/>
      <c r="AJ266" s="62"/>
      <c r="AK266" s="62"/>
      <c r="AL266" s="62"/>
      <c r="AM266" s="62"/>
      <c r="AN266" s="62"/>
      <c r="AO266" s="62"/>
      <c r="AP266" s="62"/>
      <c r="AQ266" s="62"/>
      <c r="AR266" s="62"/>
      <c r="AS266" s="62"/>
      <c r="AT266" s="62"/>
      <c r="AU266" s="62"/>
      <c r="AV266" s="62"/>
      <c r="AW266" s="62"/>
      <c r="AX266" s="62"/>
      <c r="AY266" s="62"/>
      <c r="AZ266" s="62"/>
      <c r="BA266" s="62"/>
      <c r="BB266" s="62"/>
      <c r="BC266" s="62"/>
      <c r="BD266" s="62"/>
      <c r="BE266" s="62"/>
      <c r="BF266" s="62"/>
      <c r="BG266" s="62"/>
      <c r="BH266" s="62"/>
      <c r="BI266" s="62"/>
      <c r="BJ266" s="62"/>
      <c r="BK266" s="62"/>
      <c r="BL266" s="62"/>
      <c r="BM266" s="62"/>
      <c r="BN266" s="62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62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62"/>
      <c r="AF267" s="62"/>
      <c r="AG267" s="62"/>
      <c r="AH267" s="62"/>
      <c r="AI267" s="62"/>
      <c r="AJ267" s="62"/>
      <c r="AK267" s="62"/>
      <c r="AL267" s="62"/>
      <c r="AM267" s="62"/>
      <c r="AN267" s="62"/>
      <c r="AO267" s="62"/>
      <c r="AP267" s="62"/>
      <c r="AQ267" s="62"/>
      <c r="AR267" s="62"/>
      <c r="AS267" s="62"/>
      <c r="AT267" s="62"/>
      <c r="AU267" s="62"/>
      <c r="AV267" s="62"/>
      <c r="AW267" s="62"/>
      <c r="AX267" s="62"/>
      <c r="AY267" s="62"/>
      <c r="AZ267" s="62"/>
      <c r="BA267" s="62"/>
      <c r="BB267" s="62"/>
      <c r="BC267" s="62"/>
      <c r="BD267" s="62"/>
      <c r="BE267" s="62"/>
      <c r="BF267" s="62"/>
      <c r="BG267" s="62"/>
      <c r="BH267" s="62"/>
      <c r="BI267" s="62"/>
      <c r="BJ267" s="62"/>
      <c r="BK267" s="62"/>
      <c r="BL267" s="62"/>
      <c r="BM267" s="62"/>
      <c r="BN267" s="62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62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62"/>
      <c r="AF268" s="62"/>
      <c r="AG268" s="62"/>
      <c r="AH268" s="62"/>
      <c r="AI268" s="62"/>
      <c r="AJ268" s="62"/>
      <c r="AK268" s="62"/>
      <c r="AL268" s="62"/>
      <c r="AM268" s="62"/>
      <c r="AN268" s="62"/>
      <c r="AO268" s="62"/>
      <c r="AP268" s="62"/>
      <c r="AQ268" s="62"/>
      <c r="AR268" s="62"/>
      <c r="AS268" s="62"/>
      <c r="AT268" s="62"/>
      <c r="AU268" s="62"/>
      <c r="AV268" s="62"/>
      <c r="AW268" s="62"/>
      <c r="AX268" s="62"/>
      <c r="AY268" s="62"/>
      <c r="AZ268" s="62"/>
      <c r="BA268" s="62"/>
      <c r="BB268" s="62"/>
      <c r="BC268" s="62"/>
      <c r="BD268" s="62"/>
      <c r="BE268" s="62"/>
      <c r="BF268" s="62"/>
      <c r="BG268" s="62"/>
      <c r="BH268" s="62"/>
      <c r="BI268" s="62"/>
      <c r="BJ268" s="62"/>
      <c r="BK268" s="62"/>
      <c r="BL268" s="62"/>
      <c r="BM268" s="62"/>
      <c r="BN268" s="62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62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62"/>
      <c r="AF269" s="62"/>
      <c r="AG269" s="62"/>
      <c r="AH269" s="62"/>
      <c r="AI269" s="62"/>
      <c r="AJ269" s="62"/>
      <c r="AK269" s="62"/>
      <c r="AL269" s="62"/>
      <c r="AM269" s="62"/>
      <c r="AN269" s="62"/>
      <c r="AO269" s="62"/>
      <c r="AP269" s="62"/>
      <c r="AQ269" s="62"/>
      <c r="AR269" s="62"/>
      <c r="AS269" s="62"/>
      <c r="AT269" s="62"/>
      <c r="AU269" s="62"/>
      <c r="AV269" s="62"/>
      <c r="AW269" s="62"/>
      <c r="AX269" s="62"/>
      <c r="AY269" s="62"/>
      <c r="AZ269" s="62"/>
      <c r="BA269" s="62"/>
      <c r="BB269" s="62"/>
      <c r="BC269" s="62"/>
      <c r="BD269" s="62"/>
      <c r="BE269" s="62"/>
      <c r="BF269" s="62"/>
      <c r="BG269" s="62"/>
      <c r="BH269" s="62"/>
      <c r="BI269" s="62"/>
      <c r="BJ269" s="62"/>
      <c r="BK269" s="62"/>
      <c r="BL269" s="62"/>
      <c r="BM269" s="62"/>
      <c r="BN269" s="62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62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62"/>
      <c r="AF270" s="62"/>
      <c r="AG270" s="62"/>
      <c r="AH270" s="62"/>
      <c r="AI270" s="62"/>
      <c r="AJ270" s="62"/>
      <c r="AK270" s="62"/>
      <c r="AL270" s="62"/>
      <c r="AM270" s="62"/>
      <c r="AN270" s="62"/>
      <c r="AO270" s="62"/>
      <c r="AP270" s="62"/>
      <c r="AQ270" s="62"/>
      <c r="AR270" s="62"/>
      <c r="AS270" s="62"/>
      <c r="AT270" s="62"/>
      <c r="AU270" s="62"/>
      <c r="AV270" s="62"/>
      <c r="AW270" s="62"/>
      <c r="AX270" s="62"/>
      <c r="AY270" s="62"/>
      <c r="AZ270" s="62"/>
      <c r="BA270" s="62"/>
      <c r="BB270" s="62"/>
      <c r="BC270" s="62"/>
      <c r="BD270" s="62"/>
      <c r="BE270" s="62"/>
      <c r="BF270" s="62"/>
      <c r="BG270" s="62"/>
      <c r="BH270" s="62"/>
      <c r="BI270" s="62"/>
      <c r="BJ270" s="62"/>
      <c r="BK270" s="62"/>
      <c r="BL270" s="62"/>
      <c r="BM270" s="62"/>
      <c r="BN270" s="62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62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62"/>
      <c r="AF271" s="62"/>
      <c r="AG271" s="62"/>
      <c r="AH271" s="62"/>
      <c r="AI271" s="62"/>
      <c r="AJ271" s="62"/>
      <c r="AK271" s="62"/>
      <c r="AL271" s="62"/>
      <c r="AM271" s="62"/>
      <c r="AN271" s="62"/>
      <c r="AO271" s="62"/>
      <c r="AP271" s="62"/>
      <c r="AQ271" s="62"/>
      <c r="AR271" s="62"/>
      <c r="AS271" s="62"/>
      <c r="AT271" s="62"/>
      <c r="AU271" s="62"/>
      <c r="AV271" s="62"/>
      <c r="AW271" s="62"/>
      <c r="AX271" s="62"/>
      <c r="AY271" s="62"/>
      <c r="AZ271" s="62"/>
      <c r="BA271" s="62"/>
      <c r="BB271" s="62"/>
      <c r="BC271" s="62"/>
      <c r="BD271" s="62"/>
      <c r="BE271" s="62"/>
      <c r="BF271" s="62"/>
      <c r="BG271" s="62"/>
      <c r="BH271" s="62"/>
      <c r="BI271" s="62"/>
      <c r="BJ271" s="62"/>
      <c r="BK271" s="62"/>
      <c r="BL271" s="62"/>
      <c r="BM271" s="62"/>
      <c r="BN271" s="62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62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/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2"/>
      <c r="BJ272" s="62"/>
      <c r="BK272" s="62"/>
      <c r="BL272" s="62"/>
      <c r="BM272" s="62"/>
      <c r="BN272" s="62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62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2"/>
      <c r="BJ273" s="62"/>
      <c r="BK273" s="62"/>
      <c r="BL273" s="62"/>
      <c r="BM273" s="62"/>
      <c r="BN273" s="62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62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62"/>
      <c r="AF274" s="62"/>
      <c r="AG274" s="62"/>
      <c r="AH274" s="62"/>
      <c r="AI274" s="62"/>
      <c r="AJ274" s="62"/>
      <c r="AK274" s="62"/>
      <c r="AL274" s="62"/>
      <c r="AM274" s="62"/>
      <c r="AN274" s="62"/>
      <c r="AO274" s="62"/>
      <c r="AP274" s="62"/>
      <c r="AQ274" s="62"/>
      <c r="AR274" s="62"/>
      <c r="AS274" s="62"/>
      <c r="AT274" s="62"/>
      <c r="AU274" s="62"/>
      <c r="AV274" s="62"/>
      <c r="AW274" s="62"/>
      <c r="AX274" s="62"/>
      <c r="AY274" s="62"/>
      <c r="AZ274" s="62"/>
      <c r="BA274" s="62"/>
      <c r="BB274" s="62"/>
      <c r="BC274" s="62"/>
      <c r="BD274" s="62"/>
      <c r="BE274" s="62"/>
      <c r="BF274" s="62"/>
      <c r="BG274" s="62"/>
      <c r="BH274" s="62"/>
      <c r="BI274" s="62"/>
      <c r="BJ274" s="62"/>
      <c r="BK274" s="62"/>
      <c r="BL274" s="62"/>
      <c r="BM274" s="62"/>
      <c r="BN274" s="62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62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62"/>
      <c r="AF275" s="62"/>
      <c r="AG275" s="62"/>
      <c r="AH275" s="62"/>
      <c r="AI275" s="62"/>
      <c r="AJ275" s="62"/>
      <c r="AK275" s="62"/>
      <c r="AL275" s="62"/>
      <c r="AM275" s="62"/>
      <c r="AN275" s="62"/>
      <c r="AO275" s="62"/>
      <c r="AP275" s="62"/>
      <c r="AQ275" s="62"/>
      <c r="AR275" s="62"/>
      <c r="AS275" s="62"/>
      <c r="AT275" s="62"/>
      <c r="AU275" s="62"/>
      <c r="AV275" s="62"/>
      <c r="AW275" s="62"/>
      <c r="AX275" s="62"/>
      <c r="AY275" s="62"/>
      <c r="AZ275" s="62"/>
      <c r="BA275" s="62"/>
      <c r="BB275" s="62"/>
      <c r="BC275" s="62"/>
      <c r="BD275" s="62"/>
      <c r="BE275" s="62"/>
      <c r="BF275" s="62"/>
      <c r="BG275" s="62"/>
      <c r="BH275" s="62"/>
      <c r="BI275" s="62"/>
      <c r="BJ275" s="62"/>
      <c r="BK275" s="62"/>
      <c r="BL275" s="62"/>
      <c r="BM275" s="62"/>
      <c r="BN275" s="62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62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62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62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62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62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62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62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62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62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62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62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62"/>
      <c r="AF286" s="62"/>
      <c r="AG286" s="62"/>
      <c r="AH286" s="62"/>
      <c r="AI286" s="62"/>
      <c r="AJ286" s="62"/>
      <c r="AK286" s="62"/>
      <c r="AL286" s="62"/>
      <c r="AM286" s="62"/>
      <c r="AN286" s="62"/>
      <c r="AO286" s="62"/>
      <c r="AP286" s="62"/>
      <c r="AQ286" s="62"/>
      <c r="AR286" s="62"/>
      <c r="AS286" s="62"/>
      <c r="AT286" s="62"/>
      <c r="AU286" s="62"/>
      <c r="AV286" s="62"/>
      <c r="AW286" s="62"/>
      <c r="AX286" s="62"/>
      <c r="AY286" s="62"/>
      <c r="AZ286" s="62"/>
      <c r="BA286" s="62"/>
      <c r="BB286" s="62"/>
      <c r="BC286" s="62"/>
      <c r="BD286" s="62"/>
      <c r="BE286" s="62"/>
      <c r="BF286" s="62"/>
      <c r="BG286" s="62"/>
      <c r="BH286" s="62"/>
      <c r="BI286" s="62"/>
      <c r="BJ286" s="62"/>
      <c r="BK286" s="62"/>
      <c r="BL286" s="62"/>
      <c r="BM286" s="62"/>
      <c r="BN286" s="62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62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62"/>
      <c r="AF287" s="62"/>
      <c r="AG287" s="62"/>
      <c r="AH287" s="62"/>
      <c r="AI287" s="62"/>
      <c r="AJ287" s="62"/>
      <c r="AK287" s="62"/>
      <c r="AL287" s="62"/>
      <c r="AM287" s="62"/>
      <c r="AN287" s="62"/>
      <c r="AO287" s="62"/>
      <c r="AP287" s="62"/>
      <c r="AQ287" s="62"/>
      <c r="AR287" s="62"/>
      <c r="AS287" s="62"/>
      <c r="AT287" s="62"/>
      <c r="AU287" s="62"/>
      <c r="AV287" s="62"/>
      <c r="AW287" s="62"/>
      <c r="AX287" s="62"/>
      <c r="AY287" s="62"/>
      <c r="AZ287" s="62"/>
      <c r="BA287" s="62"/>
      <c r="BB287" s="62"/>
      <c r="BC287" s="62"/>
      <c r="BD287" s="62"/>
      <c r="BE287" s="62"/>
      <c r="BF287" s="62"/>
      <c r="BG287" s="62"/>
      <c r="BH287" s="62"/>
      <c r="BI287" s="62"/>
      <c r="BJ287" s="62"/>
      <c r="BK287" s="62"/>
      <c r="BL287" s="62"/>
      <c r="BM287" s="62"/>
      <c r="BN287" s="62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62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62"/>
      <c r="AF288" s="62"/>
      <c r="AG288" s="62"/>
      <c r="AH288" s="62"/>
      <c r="AI288" s="62"/>
      <c r="AJ288" s="62"/>
      <c r="AK288" s="62"/>
      <c r="AL288" s="62"/>
      <c r="AM288" s="62"/>
      <c r="AN288" s="62"/>
      <c r="AO288" s="62"/>
      <c r="AP288" s="62"/>
      <c r="AQ288" s="62"/>
      <c r="AR288" s="62"/>
      <c r="AS288" s="62"/>
      <c r="AT288" s="62"/>
      <c r="AU288" s="62"/>
      <c r="AV288" s="62"/>
      <c r="AW288" s="62"/>
      <c r="AX288" s="62"/>
      <c r="AY288" s="62"/>
      <c r="AZ288" s="62"/>
      <c r="BA288" s="62"/>
      <c r="BB288" s="62"/>
      <c r="BC288" s="62"/>
      <c r="BD288" s="62"/>
      <c r="BE288" s="62"/>
      <c r="BF288" s="62"/>
      <c r="BG288" s="62"/>
      <c r="BH288" s="62"/>
      <c r="BI288" s="62"/>
      <c r="BJ288" s="62"/>
      <c r="BK288" s="62"/>
      <c r="BL288" s="62"/>
      <c r="BM288" s="62"/>
      <c r="BN288" s="62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62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62"/>
      <c r="AF289" s="62"/>
      <c r="AG289" s="62"/>
      <c r="AH289" s="62"/>
      <c r="AI289" s="62"/>
      <c r="AJ289" s="62"/>
      <c r="AK289" s="62"/>
      <c r="AL289" s="62"/>
      <c r="AM289" s="62"/>
      <c r="AN289" s="62"/>
      <c r="AO289" s="62"/>
      <c r="AP289" s="62"/>
      <c r="AQ289" s="62"/>
      <c r="AR289" s="62"/>
      <c r="AS289" s="62"/>
      <c r="AT289" s="62"/>
      <c r="AU289" s="62"/>
      <c r="AV289" s="62"/>
      <c r="AW289" s="62"/>
      <c r="AX289" s="62"/>
      <c r="AY289" s="62"/>
      <c r="AZ289" s="62"/>
      <c r="BA289" s="62"/>
      <c r="BB289" s="62"/>
      <c r="BC289" s="62"/>
      <c r="BD289" s="62"/>
      <c r="BE289" s="62"/>
      <c r="BF289" s="62"/>
      <c r="BG289" s="62"/>
      <c r="BH289" s="62"/>
      <c r="BI289" s="62"/>
      <c r="BJ289" s="62"/>
      <c r="BK289" s="62"/>
      <c r="BL289" s="62"/>
      <c r="BM289" s="62"/>
      <c r="BN289" s="62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62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62"/>
      <c r="AF290" s="62"/>
      <c r="AG290" s="62"/>
      <c r="AH290" s="62"/>
      <c r="AI290" s="62"/>
      <c r="AJ290" s="62"/>
      <c r="AK290" s="62"/>
      <c r="AL290" s="62"/>
      <c r="AM290" s="62"/>
      <c r="AN290" s="62"/>
      <c r="AO290" s="62"/>
      <c r="AP290" s="62"/>
      <c r="AQ290" s="62"/>
      <c r="AR290" s="62"/>
      <c r="AS290" s="62"/>
      <c r="AT290" s="62"/>
      <c r="AU290" s="62"/>
      <c r="AV290" s="62"/>
      <c r="AW290" s="62"/>
      <c r="AX290" s="62"/>
      <c r="AY290" s="62"/>
      <c r="AZ290" s="62"/>
      <c r="BA290" s="62"/>
      <c r="BB290" s="62"/>
      <c r="BC290" s="62"/>
      <c r="BD290" s="62"/>
      <c r="BE290" s="62"/>
      <c r="BF290" s="62"/>
      <c r="BG290" s="62"/>
      <c r="BH290" s="62"/>
      <c r="BI290" s="62"/>
      <c r="BJ290" s="62"/>
      <c r="BK290" s="62"/>
      <c r="BL290" s="62"/>
      <c r="BM290" s="62"/>
      <c r="BN290" s="62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62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62"/>
      <c r="AF291" s="62"/>
      <c r="AG291" s="62"/>
      <c r="AH291" s="62"/>
      <c r="AI291" s="62"/>
      <c r="AJ291" s="62"/>
      <c r="AK291" s="62"/>
      <c r="AL291" s="62"/>
      <c r="AM291" s="62"/>
      <c r="AN291" s="62"/>
      <c r="AO291" s="62"/>
      <c r="AP291" s="62"/>
      <c r="AQ291" s="62"/>
      <c r="AR291" s="62"/>
      <c r="AS291" s="62"/>
      <c r="AT291" s="62"/>
      <c r="AU291" s="62"/>
      <c r="AV291" s="62"/>
      <c r="AW291" s="62"/>
      <c r="AX291" s="62"/>
      <c r="AY291" s="62"/>
      <c r="AZ291" s="62"/>
      <c r="BA291" s="62"/>
      <c r="BB291" s="62"/>
      <c r="BC291" s="62"/>
      <c r="BD291" s="62"/>
      <c r="BE291" s="62"/>
      <c r="BF291" s="62"/>
      <c r="BG291" s="62"/>
      <c r="BH291" s="62"/>
      <c r="BI291" s="62"/>
      <c r="BJ291" s="62"/>
      <c r="BK291" s="62"/>
      <c r="BL291" s="62"/>
      <c r="BM291" s="62"/>
      <c r="BN291" s="62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62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62"/>
      <c r="AF292" s="62"/>
      <c r="AG292" s="62"/>
      <c r="AH292" s="62"/>
      <c r="AI292" s="62"/>
      <c r="AJ292" s="62"/>
      <c r="AK292" s="62"/>
      <c r="AL292" s="62"/>
      <c r="AM292" s="62"/>
      <c r="AN292" s="62"/>
      <c r="AO292" s="62"/>
      <c r="AP292" s="62"/>
      <c r="AQ292" s="62"/>
      <c r="AR292" s="62"/>
      <c r="AS292" s="62"/>
      <c r="AT292" s="62"/>
      <c r="AU292" s="62"/>
      <c r="AV292" s="62"/>
      <c r="AW292" s="62"/>
      <c r="AX292" s="62"/>
      <c r="AY292" s="62"/>
      <c r="AZ292" s="62"/>
      <c r="BA292" s="62"/>
      <c r="BB292" s="62"/>
      <c r="BC292" s="62"/>
      <c r="BD292" s="62"/>
      <c r="BE292" s="62"/>
      <c r="BF292" s="62"/>
      <c r="BG292" s="62"/>
      <c r="BH292" s="62"/>
      <c r="BI292" s="62"/>
      <c r="BJ292" s="62"/>
      <c r="BK292" s="62"/>
      <c r="BL292" s="62"/>
      <c r="BM292" s="62"/>
      <c r="BN292" s="62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62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62"/>
      <c r="AF293" s="62"/>
      <c r="AG293" s="62"/>
      <c r="AH293" s="62"/>
      <c r="AI293" s="62"/>
      <c r="AJ293" s="62"/>
      <c r="AK293" s="62"/>
      <c r="AL293" s="62"/>
      <c r="AM293" s="62"/>
      <c r="AN293" s="62"/>
      <c r="AO293" s="62"/>
      <c r="AP293" s="62"/>
      <c r="AQ293" s="62"/>
      <c r="AR293" s="62"/>
      <c r="AS293" s="62"/>
      <c r="AT293" s="62"/>
      <c r="AU293" s="62"/>
      <c r="AV293" s="62"/>
      <c r="AW293" s="62"/>
      <c r="AX293" s="62"/>
      <c r="AY293" s="62"/>
      <c r="AZ293" s="62"/>
      <c r="BA293" s="62"/>
      <c r="BB293" s="62"/>
      <c r="BC293" s="62"/>
      <c r="BD293" s="62"/>
      <c r="BE293" s="62"/>
      <c r="BF293" s="62"/>
      <c r="BG293" s="62"/>
      <c r="BH293" s="62"/>
      <c r="BI293" s="62"/>
      <c r="BJ293" s="62"/>
      <c r="BK293" s="62"/>
      <c r="BL293" s="62"/>
      <c r="BM293" s="62"/>
      <c r="BN293" s="62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62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62"/>
      <c r="AF294" s="62"/>
      <c r="AG294" s="62"/>
      <c r="AH294" s="62"/>
      <c r="AI294" s="62"/>
      <c r="AJ294" s="62"/>
      <c r="AK294" s="62"/>
      <c r="AL294" s="62"/>
      <c r="AM294" s="62"/>
      <c r="AN294" s="62"/>
      <c r="AO294" s="62"/>
      <c r="AP294" s="62"/>
      <c r="AQ294" s="62"/>
      <c r="AR294" s="62"/>
      <c r="AS294" s="62"/>
      <c r="AT294" s="62"/>
      <c r="AU294" s="62"/>
      <c r="AV294" s="62"/>
      <c r="AW294" s="62"/>
      <c r="AX294" s="62"/>
      <c r="AY294" s="62"/>
      <c r="AZ294" s="62"/>
      <c r="BA294" s="62"/>
      <c r="BB294" s="62"/>
      <c r="BC294" s="62"/>
      <c r="BD294" s="62"/>
      <c r="BE294" s="62"/>
      <c r="BF294" s="62"/>
      <c r="BG294" s="62"/>
      <c r="BH294" s="62"/>
      <c r="BI294" s="62"/>
      <c r="BJ294" s="62"/>
      <c r="BK294" s="62"/>
      <c r="BL294" s="62"/>
      <c r="BM294" s="62"/>
      <c r="BN294" s="62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62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62"/>
      <c r="AF295" s="62"/>
      <c r="AG295" s="62"/>
      <c r="AH295" s="62"/>
      <c r="AI295" s="62"/>
      <c r="AJ295" s="62"/>
      <c r="AK295" s="62"/>
      <c r="AL295" s="62"/>
      <c r="AM295" s="62"/>
      <c r="AN295" s="62"/>
      <c r="AO295" s="62"/>
      <c r="AP295" s="62"/>
      <c r="AQ295" s="62"/>
      <c r="AR295" s="62"/>
      <c r="AS295" s="62"/>
      <c r="AT295" s="62"/>
      <c r="AU295" s="62"/>
      <c r="AV295" s="62"/>
      <c r="AW295" s="62"/>
      <c r="AX295" s="62"/>
      <c r="AY295" s="62"/>
      <c r="AZ295" s="62"/>
      <c r="BA295" s="62"/>
      <c r="BB295" s="62"/>
      <c r="BC295" s="62"/>
      <c r="BD295" s="62"/>
      <c r="BE295" s="62"/>
      <c r="BF295" s="62"/>
      <c r="BG295" s="62"/>
      <c r="BH295" s="62"/>
      <c r="BI295" s="62"/>
      <c r="BJ295" s="62"/>
      <c r="BK295" s="62"/>
      <c r="BL295" s="62"/>
      <c r="BM295" s="62"/>
      <c r="BN295" s="62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62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62"/>
      <c r="AF296" s="62"/>
      <c r="AG296" s="62"/>
      <c r="AH296" s="62"/>
      <c r="AI296" s="62"/>
      <c r="AJ296" s="62"/>
      <c r="AK296" s="62"/>
      <c r="AL296" s="62"/>
      <c r="AM296" s="62"/>
      <c r="AN296" s="62"/>
      <c r="AO296" s="62"/>
      <c r="AP296" s="62"/>
      <c r="AQ296" s="62"/>
      <c r="AR296" s="62"/>
      <c r="AS296" s="62"/>
      <c r="AT296" s="62"/>
      <c r="AU296" s="62"/>
      <c r="AV296" s="62"/>
      <c r="AW296" s="62"/>
      <c r="AX296" s="62"/>
      <c r="AY296" s="62"/>
      <c r="AZ296" s="62"/>
      <c r="BA296" s="62"/>
      <c r="BB296" s="62"/>
      <c r="BC296" s="62"/>
      <c r="BD296" s="62"/>
      <c r="BE296" s="62"/>
      <c r="BF296" s="62"/>
      <c r="BG296" s="62"/>
      <c r="BH296" s="62"/>
      <c r="BI296" s="62"/>
      <c r="BJ296" s="62"/>
      <c r="BK296" s="62"/>
      <c r="BL296" s="62"/>
      <c r="BM296" s="62"/>
      <c r="BN296" s="62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62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62"/>
      <c r="AF297" s="62"/>
      <c r="AG297" s="62"/>
      <c r="AH297" s="62"/>
      <c r="AI297" s="62"/>
      <c r="AJ297" s="62"/>
      <c r="AK297" s="62"/>
      <c r="AL297" s="62"/>
      <c r="AM297" s="62"/>
      <c r="AN297" s="62"/>
      <c r="AO297" s="62"/>
      <c r="AP297" s="62"/>
      <c r="AQ297" s="62"/>
      <c r="AR297" s="62"/>
      <c r="AS297" s="62"/>
      <c r="AT297" s="62"/>
      <c r="AU297" s="62"/>
      <c r="AV297" s="62"/>
      <c r="AW297" s="62"/>
      <c r="AX297" s="62"/>
      <c r="AY297" s="62"/>
      <c r="AZ297" s="62"/>
      <c r="BA297" s="62"/>
      <c r="BB297" s="62"/>
      <c r="BC297" s="62"/>
      <c r="BD297" s="62"/>
      <c r="BE297" s="62"/>
      <c r="BF297" s="62"/>
      <c r="BG297" s="62"/>
      <c r="BH297" s="62"/>
      <c r="BI297" s="62"/>
      <c r="BJ297" s="62"/>
      <c r="BK297" s="62"/>
      <c r="BL297" s="62"/>
      <c r="BM297" s="62"/>
      <c r="BN297" s="62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62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62"/>
      <c r="AF298" s="62"/>
      <c r="AG298" s="62"/>
      <c r="AH298" s="62"/>
      <c r="AI298" s="62"/>
      <c r="AJ298" s="62"/>
      <c r="AK298" s="62"/>
      <c r="AL298" s="62"/>
      <c r="AM298" s="62"/>
      <c r="AN298" s="62"/>
      <c r="AO298" s="62"/>
      <c r="AP298" s="62"/>
      <c r="AQ298" s="62"/>
      <c r="AR298" s="62"/>
      <c r="AS298" s="62"/>
      <c r="AT298" s="62"/>
      <c r="AU298" s="62"/>
      <c r="AV298" s="62"/>
      <c r="AW298" s="62"/>
      <c r="AX298" s="62"/>
      <c r="AY298" s="62"/>
      <c r="AZ298" s="62"/>
      <c r="BA298" s="62"/>
      <c r="BB298" s="62"/>
      <c r="BC298" s="62"/>
      <c r="BD298" s="62"/>
      <c r="BE298" s="62"/>
      <c r="BF298" s="62"/>
      <c r="BG298" s="62"/>
      <c r="BH298" s="62"/>
      <c r="BI298" s="62"/>
      <c r="BJ298" s="62"/>
      <c r="BK298" s="62"/>
      <c r="BL298" s="62"/>
      <c r="BM298" s="62"/>
      <c r="BN298" s="62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62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62"/>
      <c r="AF299" s="62"/>
      <c r="AG299" s="62"/>
      <c r="AH299" s="62"/>
      <c r="AI299" s="62"/>
      <c r="AJ299" s="62"/>
      <c r="AK299" s="62"/>
      <c r="AL299" s="62"/>
      <c r="AM299" s="62"/>
      <c r="AN299" s="62"/>
      <c r="AO299" s="62"/>
      <c r="AP299" s="62"/>
      <c r="AQ299" s="62"/>
      <c r="AR299" s="62"/>
      <c r="AS299" s="62"/>
      <c r="AT299" s="62"/>
      <c r="AU299" s="62"/>
      <c r="AV299" s="62"/>
      <c r="AW299" s="62"/>
      <c r="AX299" s="62"/>
      <c r="AY299" s="62"/>
      <c r="AZ299" s="62"/>
      <c r="BA299" s="62"/>
      <c r="BB299" s="62"/>
      <c r="BC299" s="62"/>
      <c r="BD299" s="62"/>
      <c r="BE299" s="62"/>
      <c r="BF299" s="62"/>
      <c r="BG299" s="62"/>
      <c r="BH299" s="62"/>
      <c r="BI299" s="62"/>
      <c r="BJ299" s="62"/>
      <c r="BK299" s="62"/>
      <c r="BL299" s="62"/>
      <c r="BM299" s="62"/>
      <c r="BN299" s="62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62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62"/>
      <c r="AF300" s="62"/>
      <c r="AG300" s="62"/>
      <c r="AH300" s="62"/>
      <c r="AI300" s="62"/>
      <c r="AJ300" s="62"/>
      <c r="AK300" s="62"/>
      <c r="AL300" s="62"/>
      <c r="AM300" s="62"/>
      <c r="AN300" s="62"/>
      <c r="AO300" s="62"/>
      <c r="AP300" s="62"/>
      <c r="AQ300" s="62"/>
      <c r="AR300" s="62"/>
      <c r="AS300" s="62"/>
      <c r="AT300" s="62"/>
      <c r="AU300" s="62"/>
      <c r="AV300" s="62"/>
      <c r="AW300" s="62"/>
      <c r="AX300" s="62"/>
      <c r="AY300" s="62"/>
      <c r="AZ300" s="62"/>
      <c r="BA300" s="62"/>
      <c r="BB300" s="62"/>
      <c r="BC300" s="62"/>
      <c r="BD300" s="62"/>
      <c r="BE300" s="62"/>
      <c r="BF300" s="62"/>
      <c r="BG300" s="62"/>
      <c r="BH300" s="62"/>
      <c r="BI300" s="62"/>
      <c r="BJ300" s="62"/>
      <c r="BK300" s="62"/>
      <c r="BL300" s="62"/>
      <c r="BM300" s="62"/>
      <c r="BN300" s="62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62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62"/>
      <c r="AF301" s="62"/>
      <c r="AG301" s="62"/>
      <c r="AH301" s="62"/>
      <c r="AI301" s="62"/>
      <c r="AJ301" s="62"/>
      <c r="AK301" s="62"/>
      <c r="AL301" s="62"/>
      <c r="AM301" s="62"/>
      <c r="AN301" s="62"/>
      <c r="AO301" s="62"/>
      <c r="AP301" s="62"/>
      <c r="AQ301" s="62"/>
      <c r="AR301" s="62"/>
      <c r="AS301" s="62"/>
      <c r="AT301" s="62"/>
      <c r="AU301" s="62"/>
      <c r="AV301" s="62"/>
      <c r="AW301" s="62"/>
      <c r="AX301" s="62"/>
      <c r="AY301" s="62"/>
      <c r="AZ301" s="62"/>
      <c r="BA301" s="62"/>
      <c r="BB301" s="62"/>
      <c r="BC301" s="62"/>
      <c r="BD301" s="62"/>
      <c r="BE301" s="62"/>
      <c r="BF301" s="62"/>
      <c r="BG301" s="62"/>
      <c r="BH301" s="62"/>
      <c r="BI301" s="62"/>
      <c r="BJ301" s="62"/>
      <c r="BK301" s="62"/>
      <c r="BL301" s="62"/>
      <c r="BM301" s="62"/>
      <c r="BN301" s="62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62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62"/>
      <c r="AF302" s="62"/>
      <c r="AG302" s="62"/>
      <c r="AH302" s="62"/>
      <c r="AI302" s="62"/>
      <c r="AJ302" s="62"/>
      <c r="AK302" s="62"/>
      <c r="AL302" s="62"/>
      <c r="AM302" s="62"/>
      <c r="AN302" s="62"/>
      <c r="AO302" s="62"/>
      <c r="AP302" s="62"/>
      <c r="AQ302" s="62"/>
      <c r="AR302" s="62"/>
      <c r="AS302" s="62"/>
      <c r="AT302" s="62"/>
      <c r="AU302" s="62"/>
      <c r="AV302" s="62"/>
      <c r="AW302" s="62"/>
      <c r="AX302" s="62"/>
      <c r="AY302" s="62"/>
      <c r="AZ302" s="62"/>
      <c r="BA302" s="62"/>
      <c r="BB302" s="62"/>
      <c r="BC302" s="62"/>
      <c r="BD302" s="62"/>
      <c r="BE302" s="62"/>
      <c r="BF302" s="62"/>
      <c r="BG302" s="62"/>
      <c r="BH302" s="62"/>
      <c r="BI302" s="62"/>
      <c r="BJ302" s="62"/>
      <c r="BK302" s="62"/>
      <c r="BL302" s="62"/>
      <c r="BM302" s="62"/>
      <c r="BN302" s="62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62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62"/>
      <c r="AF303" s="62"/>
      <c r="AG303" s="62"/>
      <c r="AH303" s="62"/>
      <c r="AI303" s="62"/>
      <c r="AJ303" s="62"/>
      <c r="AK303" s="62"/>
      <c r="AL303" s="62"/>
      <c r="AM303" s="62"/>
      <c r="AN303" s="62"/>
      <c r="AO303" s="62"/>
      <c r="AP303" s="62"/>
      <c r="AQ303" s="62"/>
      <c r="AR303" s="62"/>
      <c r="AS303" s="62"/>
      <c r="AT303" s="62"/>
      <c r="AU303" s="62"/>
      <c r="AV303" s="62"/>
      <c r="AW303" s="62"/>
      <c r="AX303" s="62"/>
      <c r="AY303" s="62"/>
      <c r="AZ303" s="62"/>
      <c r="BA303" s="62"/>
      <c r="BB303" s="62"/>
      <c r="BC303" s="62"/>
      <c r="BD303" s="62"/>
      <c r="BE303" s="62"/>
      <c r="BF303" s="62"/>
      <c r="BG303" s="62"/>
      <c r="BH303" s="62"/>
      <c r="BI303" s="62"/>
      <c r="BJ303" s="62"/>
      <c r="BK303" s="62"/>
      <c r="BL303" s="62"/>
      <c r="BM303" s="62"/>
      <c r="BN303" s="62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62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62"/>
      <c r="AF304" s="62"/>
      <c r="AG304" s="62"/>
      <c r="AH304" s="62"/>
      <c r="AI304" s="62"/>
      <c r="AJ304" s="62"/>
      <c r="AK304" s="62"/>
      <c r="AL304" s="62"/>
      <c r="AM304" s="62"/>
      <c r="AN304" s="62"/>
      <c r="AO304" s="62"/>
      <c r="AP304" s="62"/>
      <c r="AQ304" s="62"/>
      <c r="AR304" s="62"/>
      <c r="AS304" s="62"/>
      <c r="AT304" s="62"/>
      <c r="AU304" s="62"/>
      <c r="AV304" s="62"/>
      <c r="AW304" s="62"/>
      <c r="AX304" s="62"/>
      <c r="AY304" s="62"/>
      <c r="AZ304" s="62"/>
      <c r="BA304" s="62"/>
      <c r="BB304" s="62"/>
      <c r="BC304" s="62"/>
      <c r="BD304" s="62"/>
      <c r="BE304" s="62"/>
      <c r="BF304" s="62"/>
      <c r="BG304" s="62"/>
      <c r="BH304" s="62"/>
      <c r="BI304" s="62"/>
      <c r="BJ304" s="62"/>
      <c r="BK304" s="62"/>
      <c r="BL304" s="62"/>
      <c r="BM304" s="62"/>
      <c r="BN304" s="62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62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62"/>
      <c r="AF305" s="62"/>
      <c r="AG305" s="62"/>
      <c r="AH305" s="62"/>
      <c r="AI305" s="62"/>
      <c r="AJ305" s="62"/>
      <c r="AK305" s="62"/>
      <c r="AL305" s="62"/>
      <c r="AM305" s="62"/>
      <c r="AN305" s="62"/>
      <c r="AO305" s="62"/>
      <c r="AP305" s="62"/>
      <c r="AQ305" s="62"/>
      <c r="AR305" s="62"/>
      <c r="AS305" s="62"/>
      <c r="AT305" s="62"/>
      <c r="AU305" s="62"/>
      <c r="AV305" s="62"/>
      <c r="AW305" s="62"/>
      <c r="AX305" s="62"/>
      <c r="AY305" s="62"/>
      <c r="AZ305" s="62"/>
      <c r="BA305" s="62"/>
      <c r="BB305" s="62"/>
      <c r="BC305" s="62"/>
      <c r="BD305" s="62"/>
      <c r="BE305" s="62"/>
      <c r="BF305" s="62"/>
      <c r="BG305" s="62"/>
      <c r="BH305" s="62"/>
      <c r="BI305" s="62"/>
      <c r="BJ305" s="62"/>
      <c r="BK305" s="62"/>
      <c r="BL305" s="62"/>
      <c r="BM305" s="62"/>
      <c r="BN305" s="62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62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62"/>
      <c r="AF306" s="62"/>
      <c r="AG306" s="62"/>
      <c r="AH306" s="62"/>
      <c r="AI306" s="62"/>
      <c r="AJ306" s="62"/>
      <c r="AK306" s="62"/>
      <c r="AL306" s="62"/>
      <c r="AM306" s="62"/>
      <c r="AN306" s="62"/>
      <c r="AO306" s="62"/>
      <c r="AP306" s="62"/>
      <c r="AQ306" s="62"/>
      <c r="AR306" s="62"/>
      <c r="AS306" s="62"/>
      <c r="AT306" s="62"/>
      <c r="AU306" s="62"/>
      <c r="AV306" s="62"/>
      <c r="AW306" s="62"/>
      <c r="AX306" s="62"/>
      <c r="AY306" s="62"/>
      <c r="AZ306" s="62"/>
      <c r="BA306" s="62"/>
      <c r="BB306" s="62"/>
      <c r="BC306" s="62"/>
      <c r="BD306" s="62"/>
      <c r="BE306" s="62"/>
      <c r="BF306" s="62"/>
      <c r="BG306" s="62"/>
      <c r="BH306" s="62"/>
      <c r="BI306" s="62"/>
      <c r="BJ306" s="62"/>
      <c r="BK306" s="62"/>
      <c r="BL306" s="62"/>
      <c r="BM306" s="62"/>
      <c r="BN306" s="62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62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62"/>
      <c r="AF307" s="62"/>
      <c r="AG307" s="62"/>
      <c r="AH307" s="62"/>
      <c r="AI307" s="62"/>
      <c r="AJ307" s="62"/>
      <c r="AK307" s="62"/>
      <c r="AL307" s="62"/>
      <c r="AM307" s="62"/>
      <c r="AN307" s="62"/>
      <c r="AO307" s="62"/>
      <c r="AP307" s="62"/>
      <c r="AQ307" s="62"/>
      <c r="AR307" s="62"/>
      <c r="AS307" s="62"/>
      <c r="AT307" s="62"/>
      <c r="AU307" s="62"/>
      <c r="AV307" s="62"/>
      <c r="AW307" s="62"/>
      <c r="AX307" s="62"/>
      <c r="AY307" s="62"/>
      <c r="AZ307" s="62"/>
      <c r="BA307" s="62"/>
      <c r="BB307" s="62"/>
      <c r="BC307" s="62"/>
      <c r="BD307" s="62"/>
      <c r="BE307" s="62"/>
      <c r="BF307" s="62"/>
      <c r="BG307" s="62"/>
      <c r="BH307" s="62"/>
      <c r="BI307" s="62"/>
      <c r="BJ307" s="62"/>
      <c r="BK307" s="62"/>
      <c r="BL307" s="62"/>
      <c r="BM307" s="62"/>
      <c r="BN307" s="62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62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62"/>
      <c r="AF308" s="62"/>
      <c r="AG308" s="62"/>
      <c r="AH308" s="62"/>
      <c r="AI308" s="62"/>
      <c r="AJ308" s="62"/>
      <c r="AK308" s="62"/>
      <c r="AL308" s="62"/>
      <c r="AM308" s="62"/>
      <c r="AN308" s="62"/>
      <c r="AO308" s="62"/>
      <c r="AP308" s="62"/>
      <c r="AQ308" s="62"/>
      <c r="AR308" s="62"/>
      <c r="AS308" s="62"/>
      <c r="AT308" s="62"/>
      <c r="AU308" s="62"/>
      <c r="AV308" s="62"/>
      <c r="AW308" s="62"/>
      <c r="AX308" s="62"/>
      <c r="AY308" s="62"/>
      <c r="AZ308" s="62"/>
      <c r="BA308" s="62"/>
      <c r="BB308" s="62"/>
      <c r="BC308" s="62"/>
      <c r="BD308" s="62"/>
      <c r="BE308" s="62"/>
      <c r="BF308" s="62"/>
      <c r="BG308" s="62"/>
      <c r="BH308" s="62"/>
      <c r="BI308" s="62"/>
      <c r="BJ308" s="62"/>
      <c r="BK308" s="62"/>
      <c r="BL308" s="62"/>
      <c r="BM308" s="62"/>
      <c r="BN308" s="62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62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62"/>
      <c r="AF309" s="62"/>
      <c r="AG309" s="62"/>
      <c r="AH309" s="62"/>
      <c r="AI309" s="62"/>
      <c r="AJ309" s="62"/>
      <c r="AK309" s="62"/>
      <c r="AL309" s="62"/>
      <c r="AM309" s="62"/>
      <c r="AN309" s="62"/>
      <c r="AO309" s="62"/>
      <c r="AP309" s="62"/>
      <c r="AQ309" s="62"/>
      <c r="AR309" s="62"/>
      <c r="AS309" s="62"/>
      <c r="AT309" s="62"/>
      <c r="AU309" s="62"/>
      <c r="AV309" s="62"/>
      <c r="AW309" s="62"/>
      <c r="AX309" s="62"/>
      <c r="AY309" s="62"/>
      <c r="AZ309" s="62"/>
      <c r="BA309" s="62"/>
      <c r="BB309" s="62"/>
      <c r="BC309" s="62"/>
      <c r="BD309" s="62"/>
      <c r="BE309" s="62"/>
      <c r="BF309" s="62"/>
      <c r="BG309" s="62"/>
      <c r="BH309" s="62"/>
      <c r="BI309" s="62"/>
      <c r="BJ309" s="62"/>
      <c r="BK309" s="62"/>
      <c r="BL309" s="62"/>
      <c r="BM309" s="62"/>
      <c r="BN309" s="62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62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/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2"/>
      <c r="BJ310" s="62"/>
      <c r="BK310" s="62"/>
      <c r="BL310" s="62"/>
      <c r="BM310" s="62"/>
      <c r="BN310" s="62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62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2"/>
      <c r="BJ311" s="62"/>
      <c r="BK311" s="62"/>
      <c r="BL311" s="62"/>
      <c r="BM311" s="62"/>
      <c r="BN311" s="62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62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62"/>
      <c r="AF312" s="62"/>
      <c r="AG312" s="62"/>
      <c r="AH312" s="62"/>
      <c r="AI312" s="62"/>
      <c r="AJ312" s="62"/>
      <c r="AK312" s="62"/>
      <c r="AL312" s="62"/>
      <c r="AM312" s="62"/>
      <c r="AN312" s="62"/>
      <c r="AO312" s="62"/>
      <c r="AP312" s="62"/>
      <c r="AQ312" s="62"/>
      <c r="AR312" s="62"/>
      <c r="AS312" s="62"/>
      <c r="AT312" s="62"/>
      <c r="AU312" s="62"/>
      <c r="AV312" s="62"/>
      <c r="AW312" s="62"/>
      <c r="AX312" s="62"/>
      <c r="AY312" s="62"/>
      <c r="AZ312" s="62"/>
      <c r="BA312" s="62"/>
      <c r="BB312" s="62"/>
      <c r="BC312" s="62"/>
      <c r="BD312" s="62"/>
      <c r="BE312" s="62"/>
      <c r="BF312" s="62"/>
      <c r="BG312" s="62"/>
      <c r="BH312" s="62"/>
      <c r="BI312" s="62"/>
      <c r="BJ312" s="62"/>
      <c r="BK312" s="62"/>
      <c r="BL312" s="62"/>
      <c r="BM312" s="62"/>
      <c r="BN312" s="62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62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62"/>
      <c r="AF313" s="62"/>
      <c r="AG313" s="62"/>
      <c r="AH313" s="62"/>
      <c r="AI313" s="62"/>
      <c r="AJ313" s="62"/>
      <c r="AK313" s="62"/>
      <c r="AL313" s="62"/>
      <c r="AM313" s="62"/>
      <c r="AN313" s="62"/>
      <c r="AO313" s="62"/>
      <c r="AP313" s="62"/>
      <c r="AQ313" s="62"/>
      <c r="AR313" s="62"/>
      <c r="AS313" s="62"/>
      <c r="AT313" s="62"/>
      <c r="AU313" s="62"/>
      <c r="AV313" s="62"/>
      <c r="AW313" s="62"/>
      <c r="AX313" s="62"/>
      <c r="AY313" s="62"/>
      <c r="AZ313" s="62"/>
      <c r="BA313" s="62"/>
      <c r="BB313" s="62"/>
      <c r="BC313" s="62"/>
      <c r="BD313" s="62"/>
      <c r="BE313" s="62"/>
      <c r="BF313" s="62"/>
      <c r="BG313" s="62"/>
      <c r="BH313" s="62"/>
      <c r="BI313" s="62"/>
      <c r="BJ313" s="62"/>
      <c r="BK313" s="62"/>
      <c r="BL313" s="62"/>
      <c r="BM313" s="62"/>
      <c r="BN313" s="62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62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62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62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62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62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62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62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62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62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62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62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62"/>
      <c r="AF324" s="62"/>
      <c r="AG324" s="62"/>
      <c r="AH324" s="62"/>
      <c r="AI324" s="62"/>
      <c r="AJ324" s="62"/>
      <c r="AK324" s="62"/>
      <c r="AL324" s="62"/>
      <c r="AM324" s="62"/>
      <c r="AN324" s="62"/>
      <c r="AO324" s="62"/>
      <c r="AP324" s="62"/>
      <c r="AQ324" s="62"/>
      <c r="AR324" s="62"/>
      <c r="AS324" s="62"/>
      <c r="AT324" s="62"/>
      <c r="AU324" s="62"/>
      <c r="AV324" s="62"/>
      <c r="AW324" s="62"/>
      <c r="AX324" s="62"/>
      <c r="AY324" s="62"/>
      <c r="AZ324" s="62"/>
      <c r="BA324" s="62"/>
      <c r="BB324" s="62"/>
      <c r="BC324" s="62"/>
      <c r="BD324" s="62"/>
      <c r="BE324" s="62"/>
      <c r="BF324" s="62"/>
      <c r="BG324" s="62"/>
      <c r="BH324" s="62"/>
      <c r="BI324" s="62"/>
      <c r="BJ324" s="62"/>
      <c r="BK324" s="62"/>
      <c r="BL324" s="62"/>
      <c r="BM324" s="62"/>
      <c r="BN324" s="62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62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62"/>
      <c r="AF325" s="62"/>
      <c r="AG325" s="62"/>
      <c r="AH325" s="62"/>
      <c r="AI325" s="62"/>
      <c r="AJ325" s="62"/>
      <c r="AK325" s="62"/>
      <c r="AL325" s="62"/>
      <c r="AM325" s="62"/>
      <c r="AN325" s="62"/>
      <c r="AO325" s="62"/>
      <c r="AP325" s="62"/>
      <c r="AQ325" s="62"/>
      <c r="AR325" s="62"/>
      <c r="AS325" s="62"/>
      <c r="AT325" s="62"/>
      <c r="AU325" s="62"/>
      <c r="AV325" s="62"/>
      <c r="AW325" s="62"/>
      <c r="AX325" s="62"/>
      <c r="AY325" s="62"/>
      <c r="AZ325" s="62"/>
      <c r="BA325" s="62"/>
      <c r="BB325" s="62"/>
      <c r="BC325" s="62"/>
      <c r="BD325" s="62"/>
      <c r="BE325" s="62"/>
      <c r="BF325" s="62"/>
      <c r="BG325" s="62"/>
      <c r="BH325" s="62"/>
      <c r="BI325" s="62"/>
      <c r="BJ325" s="62"/>
      <c r="BK325" s="62"/>
      <c r="BL325" s="62"/>
      <c r="BM325" s="62"/>
      <c r="BN325" s="62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62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62"/>
      <c r="AF326" s="62"/>
      <c r="AG326" s="62"/>
      <c r="AH326" s="62"/>
      <c r="AI326" s="62"/>
      <c r="AJ326" s="62"/>
      <c r="AK326" s="62"/>
      <c r="AL326" s="62"/>
      <c r="AM326" s="62"/>
      <c r="AN326" s="62"/>
      <c r="AO326" s="62"/>
      <c r="AP326" s="62"/>
      <c r="AQ326" s="62"/>
      <c r="AR326" s="62"/>
      <c r="AS326" s="62"/>
      <c r="AT326" s="62"/>
      <c r="AU326" s="62"/>
      <c r="AV326" s="62"/>
      <c r="AW326" s="62"/>
      <c r="AX326" s="62"/>
      <c r="AY326" s="62"/>
      <c r="AZ326" s="62"/>
      <c r="BA326" s="62"/>
      <c r="BB326" s="62"/>
      <c r="BC326" s="62"/>
      <c r="BD326" s="62"/>
      <c r="BE326" s="62"/>
      <c r="BF326" s="62"/>
      <c r="BG326" s="62"/>
      <c r="BH326" s="62"/>
      <c r="BI326" s="62"/>
      <c r="BJ326" s="62"/>
      <c r="BK326" s="62"/>
      <c r="BL326" s="62"/>
      <c r="BM326" s="62"/>
      <c r="BN326" s="62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62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62"/>
      <c r="AF327" s="62"/>
      <c r="AG327" s="62"/>
      <c r="AH327" s="62"/>
      <c r="AI327" s="62"/>
      <c r="AJ327" s="62"/>
      <c r="AK327" s="62"/>
      <c r="AL327" s="62"/>
      <c r="AM327" s="62"/>
      <c r="AN327" s="62"/>
      <c r="AO327" s="62"/>
      <c r="AP327" s="62"/>
      <c r="AQ327" s="62"/>
      <c r="AR327" s="62"/>
      <c r="AS327" s="62"/>
      <c r="AT327" s="62"/>
      <c r="AU327" s="62"/>
      <c r="AV327" s="62"/>
      <c r="AW327" s="62"/>
      <c r="AX327" s="62"/>
      <c r="AY327" s="62"/>
      <c r="AZ327" s="62"/>
      <c r="BA327" s="62"/>
      <c r="BB327" s="62"/>
      <c r="BC327" s="62"/>
      <c r="BD327" s="62"/>
      <c r="BE327" s="62"/>
      <c r="BF327" s="62"/>
      <c r="BG327" s="62"/>
      <c r="BH327" s="62"/>
      <c r="BI327" s="62"/>
      <c r="BJ327" s="62"/>
      <c r="BK327" s="62"/>
      <c r="BL327" s="62"/>
      <c r="BM327" s="62"/>
      <c r="BN327" s="62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62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62"/>
      <c r="AF328" s="62"/>
      <c r="AG328" s="62"/>
      <c r="AH328" s="62"/>
      <c r="AI328" s="62"/>
      <c r="AJ328" s="62"/>
      <c r="AK328" s="62"/>
      <c r="AL328" s="62"/>
      <c r="AM328" s="62"/>
      <c r="AN328" s="62"/>
      <c r="AO328" s="62"/>
      <c r="AP328" s="62"/>
      <c r="AQ328" s="62"/>
      <c r="AR328" s="62"/>
      <c r="AS328" s="62"/>
      <c r="AT328" s="62"/>
      <c r="AU328" s="62"/>
      <c r="AV328" s="62"/>
      <c r="AW328" s="62"/>
      <c r="AX328" s="62"/>
      <c r="AY328" s="62"/>
      <c r="AZ328" s="62"/>
      <c r="BA328" s="62"/>
      <c r="BB328" s="62"/>
      <c r="BC328" s="62"/>
      <c r="BD328" s="62"/>
      <c r="BE328" s="62"/>
      <c r="BF328" s="62"/>
      <c r="BG328" s="62"/>
      <c r="BH328" s="62"/>
      <c r="BI328" s="62"/>
      <c r="BJ328" s="62"/>
      <c r="BK328" s="62"/>
      <c r="BL328" s="62"/>
      <c r="BM328" s="62"/>
      <c r="BN328" s="62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62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62"/>
      <c r="AF329" s="62"/>
      <c r="AG329" s="62"/>
      <c r="AH329" s="62"/>
      <c r="AI329" s="62"/>
      <c r="AJ329" s="62"/>
      <c r="AK329" s="62"/>
      <c r="AL329" s="62"/>
      <c r="AM329" s="62"/>
      <c r="AN329" s="62"/>
      <c r="AO329" s="62"/>
      <c r="AP329" s="62"/>
      <c r="AQ329" s="62"/>
      <c r="AR329" s="62"/>
      <c r="AS329" s="62"/>
      <c r="AT329" s="62"/>
      <c r="AU329" s="62"/>
      <c r="AV329" s="62"/>
      <c r="AW329" s="62"/>
      <c r="AX329" s="62"/>
      <c r="AY329" s="62"/>
      <c r="AZ329" s="62"/>
      <c r="BA329" s="62"/>
      <c r="BB329" s="62"/>
      <c r="BC329" s="62"/>
      <c r="BD329" s="62"/>
      <c r="BE329" s="62"/>
      <c r="BF329" s="62"/>
      <c r="BG329" s="62"/>
      <c r="BH329" s="62"/>
      <c r="BI329" s="62"/>
      <c r="BJ329" s="62"/>
      <c r="BK329" s="62"/>
      <c r="BL329" s="62"/>
      <c r="BM329" s="62"/>
      <c r="BN329" s="62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62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62"/>
      <c r="AF330" s="62"/>
      <c r="AG330" s="62"/>
      <c r="AH330" s="62"/>
      <c r="AI330" s="62"/>
      <c r="AJ330" s="62"/>
      <c r="AK330" s="62"/>
      <c r="AL330" s="62"/>
      <c r="AM330" s="62"/>
      <c r="AN330" s="62"/>
      <c r="AO330" s="62"/>
      <c r="AP330" s="62"/>
      <c r="AQ330" s="62"/>
      <c r="AR330" s="62"/>
      <c r="AS330" s="62"/>
      <c r="AT330" s="62"/>
      <c r="AU330" s="62"/>
      <c r="AV330" s="62"/>
      <c r="AW330" s="62"/>
      <c r="AX330" s="62"/>
      <c r="AY330" s="62"/>
      <c r="AZ330" s="62"/>
      <c r="BA330" s="62"/>
      <c r="BB330" s="62"/>
      <c r="BC330" s="62"/>
      <c r="BD330" s="62"/>
      <c r="BE330" s="62"/>
      <c r="BF330" s="62"/>
      <c r="BG330" s="62"/>
      <c r="BH330" s="62"/>
      <c r="BI330" s="62"/>
      <c r="BJ330" s="62"/>
      <c r="BK330" s="62"/>
      <c r="BL330" s="62"/>
      <c r="BM330" s="62"/>
      <c r="BN330" s="62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62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62"/>
      <c r="AF331" s="62"/>
      <c r="AG331" s="62"/>
      <c r="AH331" s="62"/>
      <c r="AI331" s="62"/>
      <c r="AJ331" s="62"/>
      <c r="AK331" s="62"/>
      <c r="AL331" s="62"/>
      <c r="AM331" s="62"/>
      <c r="AN331" s="62"/>
      <c r="AO331" s="62"/>
      <c r="AP331" s="62"/>
      <c r="AQ331" s="62"/>
      <c r="AR331" s="62"/>
      <c r="AS331" s="62"/>
      <c r="AT331" s="62"/>
      <c r="AU331" s="62"/>
      <c r="AV331" s="62"/>
      <c r="AW331" s="62"/>
      <c r="AX331" s="62"/>
      <c r="AY331" s="62"/>
      <c r="AZ331" s="62"/>
      <c r="BA331" s="62"/>
      <c r="BB331" s="62"/>
      <c r="BC331" s="62"/>
      <c r="BD331" s="62"/>
      <c r="BE331" s="62"/>
      <c r="BF331" s="62"/>
      <c r="BG331" s="62"/>
      <c r="BH331" s="62"/>
      <c r="BI331" s="62"/>
      <c r="BJ331" s="62"/>
      <c r="BK331" s="62"/>
      <c r="BL331" s="62"/>
      <c r="BM331" s="62"/>
      <c r="BN331" s="62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62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62"/>
      <c r="AF332" s="62"/>
      <c r="AG332" s="62"/>
      <c r="AH332" s="62"/>
      <c r="AI332" s="62"/>
      <c r="AJ332" s="62"/>
      <c r="AK332" s="62"/>
      <c r="AL332" s="62"/>
      <c r="AM332" s="62"/>
      <c r="AN332" s="62"/>
      <c r="AO332" s="62"/>
      <c r="AP332" s="62"/>
      <c r="AQ332" s="62"/>
      <c r="AR332" s="62"/>
      <c r="AS332" s="62"/>
      <c r="AT332" s="62"/>
      <c r="AU332" s="62"/>
      <c r="AV332" s="62"/>
      <c r="AW332" s="62"/>
      <c r="AX332" s="62"/>
      <c r="AY332" s="62"/>
      <c r="AZ332" s="62"/>
      <c r="BA332" s="62"/>
      <c r="BB332" s="62"/>
      <c r="BC332" s="62"/>
      <c r="BD332" s="62"/>
      <c r="BE332" s="62"/>
      <c r="BF332" s="62"/>
      <c r="BG332" s="62"/>
      <c r="BH332" s="62"/>
      <c r="BI332" s="62"/>
      <c r="BJ332" s="62"/>
      <c r="BK332" s="62"/>
      <c r="BL332" s="62"/>
      <c r="BM332" s="62"/>
      <c r="BN332" s="62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62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62"/>
      <c r="AF333" s="62"/>
      <c r="AG333" s="62"/>
      <c r="AH333" s="62"/>
      <c r="AI333" s="62"/>
      <c r="AJ333" s="62"/>
      <c r="AK333" s="62"/>
      <c r="AL333" s="62"/>
      <c r="AM333" s="62"/>
      <c r="AN333" s="62"/>
      <c r="AO333" s="62"/>
      <c r="AP333" s="62"/>
      <c r="AQ333" s="62"/>
      <c r="AR333" s="62"/>
      <c r="AS333" s="62"/>
      <c r="AT333" s="62"/>
      <c r="AU333" s="62"/>
      <c r="AV333" s="62"/>
      <c r="AW333" s="62"/>
      <c r="AX333" s="62"/>
      <c r="AY333" s="62"/>
      <c r="AZ333" s="62"/>
      <c r="BA333" s="62"/>
      <c r="BB333" s="62"/>
      <c r="BC333" s="62"/>
      <c r="BD333" s="62"/>
      <c r="BE333" s="62"/>
      <c r="BF333" s="62"/>
      <c r="BG333" s="62"/>
      <c r="BH333" s="62"/>
      <c r="BI333" s="62"/>
      <c r="BJ333" s="62"/>
      <c r="BK333" s="62"/>
      <c r="BL333" s="62"/>
      <c r="BM333" s="62"/>
      <c r="BN333" s="62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62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62"/>
      <c r="AF334" s="62"/>
      <c r="AG334" s="62"/>
      <c r="AH334" s="62"/>
      <c r="AI334" s="62"/>
      <c r="AJ334" s="62"/>
      <c r="AK334" s="62"/>
      <c r="AL334" s="62"/>
      <c r="AM334" s="62"/>
      <c r="AN334" s="62"/>
      <c r="AO334" s="62"/>
      <c r="AP334" s="62"/>
      <c r="AQ334" s="62"/>
      <c r="AR334" s="62"/>
      <c r="AS334" s="62"/>
      <c r="AT334" s="62"/>
      <c r="AU334" s="62"/>
      <c r="AV334" s="62"/>
      <c r="AW334" s="62"/>
      <c r="AX334" s="62"/>
      <c r="AY334" s="62"/>
      <c r="AZ334" s="62"/>
      <c r="BA334" s="62"/>
      <c r="BB334" s="62"/>
      <c r="BC334" s="62"/>
      <c r="BD334" s="62"/>
      <c r="BE334" s="62"/>
      <c r="BF334" s="62"/>
      <c r="BG334" s="62"/>
      <c r="BH334" s="62"/>
      <c r="BI334" s="62"/>
      <c r="BJ334" s="62"/>
      <c r="BK334" s="62"/>
      <c r="BL334" s="62"/>
      <c r="BM334" s="62"/>
      <c r="BN334" s="62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62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62"/>
      <c r="AF335" s="62"/>
      <c r="AG335" s="62"/>
      <c r="AH335" s="62"/>
      <c r="AI335" s="62"/>
      <c r="AJ335" s="62"/>
      <c r="AK335" s="62"/>
      <c r="AL335" s="62"/>
      <c r="AM335" s="62"/>
      <c r="AN335" s="62"/>
      <c r="AO335" s="62"/>
      <c r="AP335" s="62"/>
      <c r="AQ335" s="62"/>
      <c r="AR335" s="62"/>
      <c r="AS335" s="62"/>
      <c r="AT335" s="62"/>
      <c r="AU335" s="62"/>
      <c r="AV335" s="62"/>
      <c r="AW335" s="62"/>
      <c r="AX335" s="62"/>
      <c r="AY335" s="62"/>
      <c r="AZ335" s="62"/>
      <c r="BA335" s="62"/>
      <c r="BB335" s="62"/>
      <c r="BC335" s="62"/>
      <c r="BD335" s="62"/>
      <c r="BE335" s="62"/>
      <c r="BF335" s="62"/>
      <c r="BG335" s="62"/>
      <c r="BH335" s="62"/>
      <c r="BI335" s="62"/>
      <c r="BJ335" s="62"/>
      <c r="BK335" s="62"/>
      <c r="BL335" s="62"/>
      <c r="BM335" s="62"/>
      <c r="BN335" s="62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62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62"/>
      <c r="AF336" s="62"/>
      <c r="AG336" s="62"/>
      <c r="AH336" s="62"/>
      <c r="AI336" s="62"/>
      <c r="AJ336" s="62"/>
      <c r="AK336" s="62"/>
      <c r="AL336" s="62"/>
      <c r="AM336" s="62"/>
      <c r="AN336" s="62"/>
      <c r="AO336" s="62"/>
      <c r="AP336" s="62"/>
      <c r="AQ336" s="62"/>
      <c r="AR336" s="62"/>
      <c r="AS336" s="62"/>
      <c r="AT336" s="62"/>
      <c r="AU336" s="62"/>
      <c r="AV336" s="62"/>
      <c r="AW336" s="62"/>
      <c r="AX336" s="62"/>
      <c r="AY336" s="62"/>
      <c r="AZ336" s="62"/>
      <c r="BA336" s="62"/>
      <c r="BB336" s="62"/>
      <c r="BC336" s="62"/>
      <c r="BD336" s="62"/>
      <c r="BE336" s="62"/>
      <c r="BF336" s="62"/>
      <c r="BG336" s="62"/>
      <c r="BH336" s="62"/>
      <c r="BI336" s="62"/>
      <c r="BJ336" s="62"/>
      <c r="BK336" s="62"/>
      <c r="BL336" s="62"/>
      <c r="BM336" s="62"/>
      <c r="BN336" s="62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62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62"/>
      <c r="AF337" s="62"/>
      <c r="AG337" s="62"/>
      <c r="AH337" s="62"/>
      <c r="AI337" s="62"/>
      <c r="AJ337" s="62"/>
      <c r="AK337" s="62"/>
      <c r="AL337" s="62"/>
      <c r="AM337" s="62"/>
      <c r="AN337" s="62"/>
      <c r="AO337" s="62"/>
      <c r="AP337" s="62"/>
      <c r="AQ337" s="62"/>
      <c r="AR337" s="62"/>
      <c r="AS337" s="62"/>
      <c r="AT337" s="62"/>
      <c r="AU337" s="62"/>
      <c r="AV337" s="62"/>
      <c r="AW337" s="62"/>
      <c r="AX337" s="62"/>
      <c r="AY337" s="62"/>
      <c r="AZ337" s="62"/>
      <c r="BA337" s="62"/>
      <c r="BB337" s="62"/>
      <c r="BC337" s="62"/>
      <c r="BD337" s="62"/>
      <c r="BE337" s="62"/>
      <c r="BF337" s="62"/>
      <c r="BG337" s="62"/>
      <c r="BH337" s="62"/>
      <c r="BI337" s="62"/>
      <c r="BJ337" s="62"/>
      <c r="BK337" s="62"/>
      <c r="BL337" s="62"/>
      <c r="BM337" s="62"/>
      <c r="BN337" s="62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62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62"/>
      <c r="AF338" s="62"/>
      <c r="AG338" s="62"/>
      <c r="AH338" s="62"/>
      <c r="AI338" s="62"/>
      <c r="AJ338" s="62"/>
      <c r="AK338" s="62"/>
      <c r="AL338" s="62"/>
      <c r="AM338" s="62"/>
      <c r="AN338" s="62"/>
      <c r="AO338" s="62"/>
      <c r="AP338" s="62"/>
      <c r="AQ338" s="62"/>
      <c r="AR338" s="62"/>
      <c r="AS338" s="62"/>
      <c r="AT338" s="62"/>
      <c r="AU338" s="62"/>
      <c r="AV338" s="62"/>
      <c r="AW338" s="62"/>
      <c r="AX338" s="62"/>
      <c r="AY338" s="62"/>
      <c r="AZ338" s="62"/>
      <c r="BA338" s="62"/>
      <c r="BB338" s="62"/>
      <c r="BC338" s="62"/>
      <c r="BD338" s="62"/>
      <c r="BE338" s="62"/>
      <c r="BF338" s="62"/>
      <c r="BG338" s="62"/>
      <c r="BH338" s="62"/>
      <c r="BI338" s="62"/>
      <c r="BJ338" s="62"/>
      <c r="BK338" s="62"/>
      <c r="BL338" s="62"/>
      <c r="BM338" s="62"/>
      <c r="BN338" s="62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62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62"/>
      <c r="AF339" s="62"/>
      <c r="AG339" s="62"/>
      <c r="AH339" s="62"/>
      <c r="AI339" s="62"/>
      <c r="AJ339" s="62"/>
      <c r="AK339" s="62"/>
      <c r="AL339" s="62"/>
      <c r="AM339" s="62"/>
      <c r="AN339" s="62"/>
      <c r="AO339" s="62"/>
      <c r="AP339" s="62"/>
      <c r="AQ339" s="62"/>
      <c r="AR339" s="62"/>
      <c r="AS339" s="62"/>
      <c r="AT339" s="62"/>
      <c r="AU339" s="62"/>
      <c r="AV339" s="62"/>
      <c r="AW339" s="62"/>
      <c r="AX339" s="62"/>
      <c r="AY339" s="62"/>
      <c r="AZ339" s="62"/>
      <c r="BA339" s="62"/>
      <c r="BB339" s="62"/>
      <c r="BC339" s="62"/>
      <c r="BD339" s="62"/>
      <c r="BE339" s="62"/>
      <c r="BF339" s="62"/>
      <c r="BG339" s="62"/>
      <c r="BH339" s="62"/>
      <c r="BI339" s="62"/>
      <c r="BJ339" s="62"/>
      <c r="BK339" s="62"/>
      <c r="BL339" s="62"/>
      <c r="BM339" s="62"/>
      <c r="BN339" s="62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62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62"/>
      <c r="AF340" s="62"/>
      <c r="AG340" s="62"/>
      <c r="AH340" s="62"/>
      <c r="AI340" s="62"/>
      <c r="AJ340" s="62"/>
      <c r="AK340" s="62"/>
      <c r="AL340" s="62"/>
      <c r="AM340" s="62"/>
      <c r="AN340" s="62"/>
      <c r="AO340" s="62"/>
      <c r="AP340" s="62"/>
      <c r="AQ340" s="62"/>
      <c r="AR340" s="62"/>
      <c r="AS340" s="62"/>
      <c r="AT340" s="62"/>
      <c r="AU340" s="62"/>
      <c r="AV340" s="62"/>
      <c r="AW340" s="62"/>
      <c r="AX340" s="62"/>
      <c r="AY340" s="62"/>
      <c r="AZ340" s="62"/>
      <c r="BA340" s="62"/>
      <c r="BB340" s="62"/>
      <c r="BC340" s="62"/>
      <c r="BD340" s="62"/>
      <c r="BE340" s="62"/>
      <c r="BF340" s="62"/>
      <c r="BG340" s="62"/>
      <c r="BH340" s="62"/>
      <c r="BI340" s="62"/>
      <c r="BJ340" s="62"/>
      <c r="BK340" s="62"/>
      <c r="BL340" s="62"/>
      <c r="BM340" s="62"/>
      <c r="BN340" s="62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62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62"/>
      <c r="AF341" s="62"/>
      <c r="AG341" s="62"/>
      <c r="AH341" s="62"/>
      <c r="AI341" s="62"/>
      <c r="AJ341" s="62"/>
      <c r="AK341" s="62"/>
      <c r="AL341" s="62"/>
      <c r="AM341" s="62"/>
      <c r="AN341" s="62"/>
      <c r="AO341" s="62"/>
      <c r="AP341" s="62"/>
      <c r="AQ341" s="62"/>
      <c r="AR341" s="62"/>
      <c r="AS341" s="62"/>
      <c r="AT341" s="62"/>
      <c r="AU341" s="62"/>
      <c r="AV341" s="62"/>
      <c r="AW341" s="62"/>
      <c r="AX341" s="62"/>
      <c r="AY341" s="62"/>
      <c r="AZ341" s="62"/>
      <c r="BA341" s="62"/>
      <c r="BB341" s="62"/>
      <c r="BC341" s="62"/>
      <c r="BD341" s="62"/>
      <c r="BE341" s="62"/>
      <c r="BF341" s="62"/>
      <c r="BG341" s="62"/>
      <c r="BH341" s="62"/>
      <c r="BI341" s="62"/>
      <c r="BJ341" s="62"/>
      <c r="BK341" s="62"/>
      <c r="BL341" s="62"/>
      <c r="BM341" s="62"/>
      <c r="BN341" s="62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62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62"/>
      <c r="AF342" s="62"/>
      <c r="AG342" s="62"/>
      <c r="AH342" s="62"/>
      <c r="AI342" s="62"/>
      <c r="AJ342" s="62"/>
      <c r="AK342" s="62"/>
      <c r="AL342" s="62"/>
      <c r="AM342" s="62"/>
      <c r="AN342" s="62"/>
      <c r="AO342" s="62"/>
      <c r="AP342" s="62"/>
      <c r="AQ342" s="62"/>
      <c r="AR342" s="62"/>
      <c r="AS342" s="62"/>
      <c r="AT342" s="62"/>
      <c r="AU342" s="62"/>
      <c r="AV342" s="62"/>
      <c r="AW342" s="62"/>
      <c r="AX342" s="62"/>
      <c r="AY342" s="62"/>
      <c r="AZ342" s="62"/>
      <c r="BA342" s="62"/>
      <c r="BB342" s="62"/>
      <c r="BC342" s="62"/>
      <c r="BD342" s="62"/>
      <c r="BE342" s="62"/>
      <c r="BF342" s="62"/>
      <c r="BG342" s="62"/>
      <c r="BH342" s="62"/>
      <c r="BI342" s="62"/>
      <c r="BJ342" s="62"/>
      <c r="BK342" s="62"/>
      <c r="BL342" s="62"/>
      <c r="BM342" s="62"/>
      <c r="BN342" s="62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62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62"/>
      <c r="AF343" s="62"/>
      <c r="AG343" s="62"/>
      <c r="AH343" s="62"/>
      <c r="AI343" s="62"/>
      <c r="AJ343" s="62"/>
      <c r="AK343" s="62"/>
      <c r="AL343" s="62"/>
      <c r="AM343" s="62"/>
      <c r="AN343" s="62"/>
      <c r="AO343" s="62"/>
      <c r="AP343" s="62"/>
      <c r="AQ343" s="62"/>
      <c r="AR343" s="62"/>
      <c r="AS343" s="62"/>
      <c r="AT343" s="62"/>
      <c r="AU343" s="62"/>
      <c r="AV343" s="62"/>
      <c r="AW343" s="62"/>
      <c r="AX343" s="62"/>
      <c r="AY343" s="62"/>
      <c r="AZ343" s="62"/>
      <c r="BA343" s="62"/>
      <c r="BB343" s="62"/>
      <c r="BC343" s="62"/>
      <c r="BD343" s="62"/>
      <c r="BE343" s="62"/>
      <c r="BF343" s="62"/>
      <c r="BG343" s="62"/>
      <c r="BH343" s="62"/>
      <c r="BI343" s="62"/>
      <c r="BJ343" s="62"/>
      <c r="BK343" s="62"/>
      <c r="BL343" s="62"/>
      <c r="BM343" s="62"/>
      <c r="BN343" s="62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62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62"/>
      <c r="AF344" s="62"/>
      <c r="AG344" s="62"/>
      <c r="AH344" s="62"/>
      <c r="AI344" s="62"/>
      <c r="AJ344" s="62"/>
      <c r="AK344" s="62"/>
      <c r="AL344" s="62"/>
      <c r="AM344" s="62"/>
      <c r="AN344" s="62"/>
      <c r="AO344" s="62"/>
      <c r="AP344" s="62"/>
      <c r="AQ344" s="62"/>
      <c r="AR344" s="62"/>
      <c r="AS344" s="62"/>
      <c r="AT344" s="62"/>
      <c r="AU344" s="62"/>
      <c r="AV344" s="62"/>
      <c r="AW344" s="62"/>
      <c r="AX344" s="62"/>
      <c r="AY344" s="62"/>
      <c r="AZ344" s="62"/>
      <c r="BA344" s="62"/>
      <c r="BB344" s="62"/>
      <c r="BC344" s="62"/>
      <c r="BD344" s="62"/>
      <c r="BE344" s="62"/>
      <c r="BF344" s="62"/>
      <c r="BG344" s="62"/>
      <c r="BH344" s="62"/>
      <c r="BI344" s="62"/>
      <c r="BJ344" s="62"/>
      <c r="BK344" s="62"/>
      <c r="BL344" s="62"/>
      <c r="BM344" s="62"/>
      <c r="BN344" s="62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62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62"/>
      <c r="AF345" s="62"/>
      <c r="AG345" s="62"/>
      <c r="AH345" s="62"/>
      <c r="AI345" s="62"/>
      <c r="AJ345" s="62"/>
      <c r="AK345" s="62"/>
      <c r="AL345" s="62"/>
      <c r="AM345" s="62"/>
      <c r="AN345" s="62"/>
      <c r="AO345" s="62"/>
      <c r="AP345" s="62"/>
      <c r="AQ345" s="62"/>
      <c r="AR345" s="62"/>
      <c r="AS345" s="62"/>
      <c r="AT345" s="62"/>
      <c r="AU345" s="62"/>
      <c r="AV345" s="62"/>
      <c r="AW345" s="62"/>
      <c r="AX345" s="62"/>
      <c r="AY345" s="62"/>
      <c r="AZ345" s="62"/>
      <c r="BA345" s="62"/>
      <c r="BB345" s="62"/>
      <c r="BC345" s="62"/>
      <c r="BD345" s="62"/>
      <c r="BE345" s="62"/>
      <c r="BF345" s="62"/>
      <c r="BG345" s="62"/>
      <c r="BH345" s="62"/>
      <c r="BI345" s="62"/>
      <c r="BJ345" s="62"/>
      <c r="BK345" s="62"/>
      <c r="BL345" s="62"/>
      <c r="BM345" s="62"/>
      <c r="BN345" s="62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62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62"/>
      <c r="AF346" s="62"/>
      <c r="AG346" s="62"/>
      <c r="AH346" s="62"/>
      <c r="AI346" s="62"/>
      <c r="AJ346" s="62"/>
      <c r="AK346" s="62"/>
      <c r="AL346" s="62"/>
      <c r="AM346" s="62"/>
      <c r="AN346" s="62"/>
      <c r="AO346" s="62"/>
      <c r="AP346" s="62"/>
      <c r="AQ346" s="62"/>
      <c r="AR346" s="62"/>
      <c r="AS346" s="62"/>
      <c r="AT346" s="62"/>
      <c r="AU346" s="62"/>
      <c r="AV346" s="62"/>
      <c r="AW346" s="62"/>
      <c r="AX346" s="62"/>
      <c r="AY346" s="62"/>
      <c r="AZ346" s="62"/>
      <c r="BA346" s="62"/>
      <c r="BB346" s="62"/>
      <c r="BC346" s="62"/>
      <c r="BD346" s="62"/>
      <c r="BE346" s="62"/>
      <c r="BF346" s="62"/>
      <c r="BG346" s="62"/>
      <c r="BH346" s="62"/>
      <c r="BI346" s="62"/>
      <c r="BJ346" s="62"/>
      <c r="BK346" s="62"/>
      <c r="BL346" s="62"/>
      <c r="BM346" s="62"/>
      <c r="BN346" s="62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62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62"/>
      <c r="AF347" s="62"/>
      <c r="AG347" s="62"/>
      <c r="AH347" s="62"/>
      <c r="AI347" s="62"/>
      <c r="AJ347" s="62"/>
      <c r="AK347" s="62"/>
      <c r="AL347" s="62"/>
      <c r="AM347" s="62"/>
      <c r="AN347" s="62"/>
      <c r="AO347" s="62"/>
      <c r="AP347" s="62"/>
      <c r="AQ347" s="62"/>
      <c r="AR347" s="62"/>
      <c r="AS347" s="62"/>
      <c r="AT347" s="62"/>
      <c r="AU347" s="62"/>
      <c r="AV347" s="62"/>
      <c r="AW347" s="62"/>
      <c r="AX347" s="62"/>
      <c r="AY347" s="62"/>
      <c r="AZ347" s="62"/>
      <c r="BA347" s="62"/>
      <c r="BB347" s="62"/>
      <c r="BC347" s="62"/>
      <c r="BD347" s="62"/>
      <c r="BE347" s="62"/>
      <c r="BF347" s="62"/>
      <c r="BG347" s="62"/>
      <c r="BH347" s="62"/>
      <c r="BI347" s="62"/>
      <c r="BJ347" s="62"/>
      <c r="BK347" s="62"/>
      <c r="BL347" s="62"/>
      <c r="BM347" s="62"/>
      <c r="BN347" s="62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62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/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2"/>
      <c r="BJ348" s="62"/>
      <c r="BK348" s="62"/>
      <c r="BL348" s="62"/>
      <c r="BM348" s="62"/>
      <c r="BN348" s="62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62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2"/>
      <c r="BJ349" s="62"/>
      <c r="BK349" s="62"/>
      <c r="BL349" s="62"/>
      <c r="BM349" s="62"/>
      <c r="BN349" s="62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62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62"/>
      <c r="AF350" s="62"/>
      <c r="AG350" s="62"/>
      <c r="AH350" s="62"/>
      <c r="AI350" s="62"/>
      <c r="AJ350" s="62"/>
      <c r="AK350" s="62"/>
      <c r="AL350" s="62"/>
      <c r="AM350" s="62"/>
      <c r="AN350" s="62"/>
      <c r="AO350" s="62"/>
      <c r="AP350" s="62"/>
      <c r="AQ350" s="62"/>
      <c r="AR350" s="62"/>
      <c r="AS350" s="62"/>
      <c r="AT350" s="62"/>
      <c r="AU350" s="62"/>
      <c r="AV350" s="62"/>
      <c r="AW350" s="62"/>
      <c r="AX350" s="62"/>
      <c r="AY350" s="62"/>
      <c r="AZ350" s="62"/>
      <c r="BA350" s="62"/>
      <c r="BB350" s="62"/>
      <c r="BC350" s="62"/>
      <c r="BD350" s="62"/>
      <c r="BE350" s="62"/>
      <c r="BF350" s="62"/>
      <c r="BG350" s="62"/>
      <c r="BH350" s="62"/>
      <c r="BI350" s="62"/>
      <c r="BJ350" s="62"/>
      <c r="BK350" s="62"/>
      <c r="BL350" s="62"/>
      <c r="BM350" s="62"/>
      <c r="BN350" s="62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62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62"/>
      <c r="AF351" s="62"/>
      <c r="AG351" s="62"/>
      <c r="AH351" s="62"/>
      <c r="AI351" s="62"/>
      <c r="AJ351" s="62"/>
      <c r="AK351" s="62"/>
      <c r="AL351" s="62"/>
      <c r="AM351" s="62"/>
      <c r="AN351" s="62"/>
      <c r="AO351" s="62"/>
      <c r="AP351" s="62"/>
      <c r="AQ351" s="62"/>
      <c r="AR351" s="62"/>
      <c r="AS351" s="62"/>
      <c r="AT351" s="62"/>
      <c r="AU351" s="62"/>
      <c r="AV351" s="62"/>
      <c r="AW351" s="62"/>
      <c r="AX351" s="62"/>
      <c r="AY351" s="62"/>
      <c r="AZ351" s="62"/>
      <c r="BA351" s="62"/>
      <c r="BB351" s="62"/>
      <c r="BC351" s="62"/>
      <c r="BD351" s="62"/>
      <c r="BE351" s="62"/>
      <c r="BF351" s="62"/>
      <c r="BG351" s="62"/>
      <c r="BH351" s="62"/>
      <c r="BI351" s="62"/>
      <c r="BJ351" s="62"/>
      <c r="BK351" s="62"/>
      <c r="BL351" s="62"/>
      <c r="BM351" s="62"/>
      <c r="BN351" s="62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62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62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62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62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62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62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62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62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62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62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62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62"/>
      <c r="AF362" s="62"/>
      <c r="AG362" s="62"/>
      <c r="AH362" s="62"/>
      <c r="AI362" s="62"/>
      <c r="AJ362" s="62"/>
      <c r="AK362" s="62"/>
      <c r="AL362" s="62"/>
      <c r="AM362" s="62"/>
      <c r="AN362" s="62"/>
      <c r="AO362" s="62"/>
      <c r="AP362" s="62"/>
      <c r="AQ362" s="62"/>
      <c r="AR362" s="62"/>
      <c r="AS362" s="62"/>
      <c r="AT362" s="62"/>
      <c r="AU362" s="62"/>
      <c r="AV362" s="62"/>
      <c r="AW362" s="62"/>
      <c r="AX362" s="62"/>
      <c r="AY362" s="62"/>
      <c r="AZ362" s="62"/>
      <c r="BA362" s="62"/>
      <c r="BB362" s="62"/>
      <c r="BC362" s="62"/>
      <c r="BD362" s="62"/>
      <c r="BE362" s="62"/>
      <c r="BF362" s="62"/>
      <c r="BG362" s="62"/>
      <c r="BH362" s="62"/>
      <c r="BI362" s="62"/>
      <c r="BJ362" s="62"/>
      <c r="BK362" s="62"/>
      <c r="BL362" s="62"/>
      <c r="BM362" s="62"/>
      <c r="BN362" s="62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62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62"/>
      <c r="AF363" s="62"/>
      <c r="AG363" s="62"/>
      <c r="AH363" s="62"/>
      <c r="AI363" s="62"/>
      <c r="AJ363" s="62"/>
      <c r="AK363" s="62"/>
      <c r="AL363" s="62"/>
      <c r="AM363" s="62"/>
      <c r="AN363" s="62"/>
      <c r="AO363" s="62"/>
      <c r="AP363" s="62"/>
      <c r="AQ363" s="62"/>
      <c r="AR363" s="62"/>
      <c r="AS363" s="62"/>
      <c r="AT363" s="62"/>
      <c r="AU363" s="62"/>
      <c r="AV363" s="62"/>
      <c r="AW363" s="62"/>
      <c r="AX363" s="62"/>
      <c r="AY363" s="62"/>
      <c r="AZ363" s="62"/>
      <c r="BA363" s="62"/>
      <c r="BB363" s="62"/>
      <c r="BC363" s="62"/>
      <c r="BD363" s="62"/>
      <c r="BE363" s="62"/>
      <c r="BF363" s="62"/>
      <c r="BG363" s="62"/>
      <c r="BH363" s="62"/>
      <c r="BI363" s="62"/>
      <c r="BJ363" s="62"/>
      <c r="BK363" s="62"/>
      <c r="BL363" s="62"/>
      <c r="BM363" s="62"/>
      <c r="BN363" s="62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62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62"/>
      <c r="AF364" s="62"/>
      <c r="AG364" s="62"/>
      <c r="AH364" s="62"/>
      <c r="AI364" s="62"/>
      <c r="AJ364" s="62"/>
      <c r="AK364" s="62"/>
      <c r="AL364" s="62"/>
      <c r="AM364" s="62"/>
      <c r="AN364" s="62"/>
      <c r="AO364" s="62"/>
      <c r="AP364" s="62"/>
      <c r="AQ364" s="62"/>
      <c r="AR364" s="62"/>
      <c r="AS364" s="62"/>
      <c r="AT364" s="62"/>
      <c r="AU364" s="62"/>
      <c r="AV364" s="62"/>
      <c r="AW364" s="62"/>
      <c r="AX364" s="62"/>
      <c r="AY364" s="62"/>
      <c r="AZ364" s="62"/>
      <c r="BA364" s="62"/>
      <c r="BB364" s="62"/>
      <c r="BC364" s="62"/>
      <c r="BD364" s="62"/>
      <c r="BE364" s="62"/>
      <c r="BF364" s="62"/>
      <c r="BG364" s="62"/>
      <c r="BH364" s="62"/>
      <c r="BI364" s="62"/>
      <c r="BJ364" s="62"/>
      <c r="BK364" s="62"/>
      <c r="BL364" s="62"/>
      <c r="BM364" s="62"/>
      <c r="BN364" s="62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62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62"/>
      <c r="AF365" s="62"/>
      <c r="AG365" s="62"/>
      <c r="AH365" s="62"/>
      <c r="AI365" s="62"/>
      <c r="AJ365" s="62"/>
      <c r="AK365" s="62"/>
      <c r="AL365" s="62"/>
      <c r="AM365" s="62"/>
      <c r="AN365" s="62"/>
      <c r="AO365" s="62"/>
      <c r="AP365" s="62"/>
      <c r="AQ365" s="62"/>
      <c r="AR365" s="62"/>
      <c r="AS365" s="62"/>
      <c r="AT365" s="62"/>
      <c r="AU365" s="62"/>
      <c r="AV365" s="62"/>
      <c r="AW365" s="62"/>
      <c r="AX365" s="62"/>
      <c r="AY365" s="62"/>
      <c r="AZ365" s="62"/>
      <c r="BA365" s="62"/>
      <c r="BB365" s="62"/>
      <c r="BC365" s="62"/>
      <c r="BD365" s="62"/>
      <c r="BE365" s="62"/>
      <c r="BF365" s="62"/>
      <c r="BG365" s="62"/>
      <c r="BH365" s="62"/>
      <c r="BI365" s="62"/>
      <c r="BJ365" s="62"/>
      <c r="BK365" s="62"/>
      <c r="BL365" s="62"/>
      <c r="BM365" s="62"/>
      <c r="BN365" s="62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62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62"/>
      <c r="AF366" s="62"/>
      <c r="AG366" s="62"/>
      <c r="AH366" s="62"/>
      <c r="AI366" s="62"/>
      <c r="AJ366" s="62"/>
      <c r="AK366" s="62"/>
      <c r="AL366" s="62"/>
      <c r="AM366" s="62"/>
      <c r="AN366" s="62"/>
      <c r="AO366" s="62"/>
      <c r="AP366" s="62"/>
      <c r="AQ366" s="62"/>
      <c r="AR366" s="62"/>
      <c r="AS366" s="62"/>
      <c r="AT366" s="62"/>
      <c r="AU366" s="62"/>
      <c r="AV366" s="62"/>
      <c r="AW366" s="62"/>
      <c r="AX366" s="62"/>
      <c r="AY366" s="62"/>
      <c r="AZ366" s="62"/>
      <c r="BA366" s="62"/>
      <c r="BB366" s="62"/>
      <c r="BC366" s="62"/>
      <c r="BD366" s="62"/>
      <c r="BE366" s="62"/>
      <c r="BF366" s="62"/>
      <c r="BG366" s="62"/>
      <c r="BH366" s="62"/>
      <c r="BI366" s="62"/>
      <c r="BJ366" s="62"/>
      <c r="BK366" s="62"/>
      <c r="BL366" s="62"/>
      <c r="BM366" s="62"/>
      <c r="BN366" s="62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62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62"/>
      <c r="AF367" s="62"/>
      <c r="AG367" s="62"/>
      <c r="AH367" s="62"/>
      <c r="AI367" s="62"/>
      <c r="AJ367" s="62"/>
      <c r="AK367" s="62"/>
      <c r="AL367" s="62"/>
      <c r="AM367" s="62"/>
      <c r="AN367" s="62"/>
      <c r="AO367" s="62"/>
      <c r="AP367" s="62"/>
      <c r="AQ367" s="62"/>
      <c r="AR367" s="62"/>
      <c r="AS367" s="62"/>
      <c r="AT367" s="62"/>
      <c r="AU367" s="62"/>
      <c r="AV367" s="62"/>
      <c r="AW367" s="62"/>
      <c r="AX367" s="62"/>
      <c r="AY367" s="62"/>
      <c r="AZ367" s="62"/>
      <c r="BA367" s="62"/>
      <c r="BB367" s="62"/>
      <c r="BC367" s="62"/>
      <c r="BD367" s="62"/>
      <c r="BE367" s="62"/>
      <c r="BF367" s="62"/>
      <c r="BG367" s="62"/>
      <c r="BH367" s="62"/>
      <c r="BI367" s="62"/>
      <c r="BJ367" s="62"/>
      <c r="BK367" s="62"/>
      <c r="BL367" s="62"/>
      <c r="BM367" s="62"/>
      <c r="BN367" s="62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62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62"/>
      <c r="AF368" s="62"/>
      <c r="AG368" s="62"/>
      <c r="AH368" s="62"/>
      <c r="AI368" s="62"/>
      <c r="AJ368" s="62"/>
      <c r="AK368" s="62"/>
      <c r="AL368" s="62"/>
      <c r="AM368" s="62"/>
      <c r="AN368" s="62"/>
      <c r="AO368" s="62"/>
      <c r="AP368" s="62"/>
      <c r="AQ368" s="62"/>
      <c r="AR368" s="62"/>
      <c r="AS368" s="62"/>
      <c r="AT368" s="62"/>
      <c r="AU368" s="62"/>
      <c r="AV368" s="62"/>
      <c r="AW368" s="62"/>
      <c r="AX368" s="62"/>
      <c r="AY368" s="62"/>
      <c r="AZ368" s="62"/>
      <c r="BA368" s="62"/>
      <c r="BB368" s="62"/>
      <c r="BC368" s="62"/>
      <c r="BD368" s="62"/>
      <c r="BE368" s="62"/>
      <c r="BF368" s="62"/>
      <c r="BG368" s="62"/>
      <c r="BH368" s="62"/>
      <c r="BI368" s="62"/>
      <c r="BJ368" s="62"/>
      <c r="BK368" s="62"/>
      <c r="BL368" s="62"/>
      <c r="BM368" s="62"/>
      <c r="BN368" s="62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62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62"/>
      <c r="AF369" s="62"/>
      <c r="AG369" s="62"/>
      <c r="AH369" s="62"/>
      <c r="AI369" s="62"/>
      <c r="AJ369" s="62"/>
      <c r="AK369" s="62"/>
      <c r="AL369" s="62"/>
      <c r="AM369" s="62"/>
      <c r="AN369" s="62"/>
      <c r="AO369" s="62"/>
      <c r="AP369" s="62"/>
      <c r="AQ369" s="62"/>
      <c r="AR369" s="62"/>
      <c r="AS369" s="62"/>
      <c r="AT369" s="62"/>
      <c r="AU369" s="62"/>
      <c r="AV369" s="62"/>
      <c r="AW369" s="62"/>
      <c r="AX369" s="62"/>
      <c r="AY369" s="62"/>
      <c r="AZ369" s="62"/>
      <c r="BA369" s="62"/>
      <c r="BB369" s="62"/>
      <c r="BC369" s="62"/>
      <c r="BD369" s="62"/>
      <c r="BE369" s="62"/>
      <c r="BF369" s="62"/>
      <c r="BG369" s="62"/>
      <c r="BH369" s="62"/>
      <c r="BI369" s="62"/>
      <c r="BJ369" s="62"/>
      <c r="BK369" s="62"/>
      <c r="BL369" s="62"/>
      <c r="BM369" s="62"/>
      <c r="BN369" s="62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62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62"/>
      <c r="AF370" s="62"/>
      <c r="AG370" s="62"/>
      <c r="AH370" s="62"/>
      <c r="AI370" s="62"/>
      <c r="AJ370" s="62"/>
      <c r="AK370" s="62"/>
      <c r="AL370" s="62"/>
      <c r="AM370" s="62"/>
      <c r="AN370" s="62"/>
      <c r="AO370" s="62"/>
      <c r="AP370" s="62"/>
      <c r="AQ370" s="62"/>
      <c r="AR370" s="62"/>
      <c r="AS370" s="62"/>
      <c r="AT370" s="62"/>
      <c r="AU370" s="62"/>
      <c r="AV370" s="62"/>
      <c r="AW370" s="62"/>
      <c r="AX370" s="62"/>
      <c r="AY370" s="62"/>
      <c r="AZ370" s="62"/>
      <c r="BA370" s="62"/>
      <c r="BB370" s="62"/>
      <c r="BC370" s="62"/>
      <c r="BD370" s="62"/>
      <c r="BE370" s="62"/>
      <c r="BF370" s="62"/>
      <c r="BG370" s="62"/>
      <c r="BH370" s="62"/>
      <c r="BI370" s="62"/>
      <c r="BJ370" s="62"/>
      <c r="BK370" s="62"/>
      <c r="BL370" s="62"/>
      <c r="BM370" s="62"/>
      <c r="BN370" s="62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62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62"/>
      <c r="AF371" s="62"/>
      <c r="AG371" s="62"/>
      <c r="AH371" s="62"/>
      <c r="AI371" s="62"/>
      <c r="AJ371" s="62"/>
      <c r="AK371" s="62"/>
      <c r="AL371" s="62"/>
      <c r="AM371" s="62"/>
      <c r="AN371" s="62"/>
      <c r="AO371" s="62"/>
      <c r="AP371" s="62"/>
      <c r="AQ371" s="62"/>
      <c r="AR371" s="62"/>
      <c r="AS371" s="62"/>
      <c r="AT371" s="62"/>
      <c r="AU371" s="62"/>
      <c r="AV371" s="62"/>
      <c r="AW371" s="62"/>
      <c r="AX371" s="62"/>
      <c r="AY371" s="62"/>
      <c r="AZ371" s="62"/>
      <c r="BA371" s="62"/>
      <c r="BB371" s="62"/>
      <c r="BC371" s="62"/>
      <c r="BD371" s="62"/>
      <c r="BE371" s="62"/>
      <c r="BF371" s="62"/>
      <c r="BG371" s="62"/>
      <c r="BH371" s="62"/>
      <c r="BI371" s="62"/>
      <c r="BJ371" s="62"/>
      <c r="BK371" s="62"/>
      <c r="BL371" s="62"/>
      <c r="BM371" s="62"/>
      <c r="BN371" s="62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62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62"/>
      <c r="AF372" s="62"/>
      <c r="AG372" s="62"/>
      <c r="AH372" s="62"/>
      <c r="AI372" s="62"/>
      <c r="AJ372" s="62"/>
      <c r="AK372" s="62"/>
      <c r="AL372" s="62"/>
      <c r="AM372" s="62"/>
      <c r="AN372" s="62"/>
      <c r="AO372" s="62"/>
      <c r="AP372" s="62"/>
      <c r="AQ372" s="62"/>
      <c r="AR372" s="62"/>
      <c r="AS372" s="62"/>
      <c r="AT372" s="62"/>
      <c r="AU372" s="62"/>
      <c r="AV372" s="62"/>
      <c r="AW372" s="62"/>
      <c r="AX372" s="62"/>
      <c r="AY372" s="62"/>
      <c r="AZ372" s="62"/>
      <c r="BA372" s="62"/>
      <c r="BB372" s="62"/>
      <c r="BC372" s="62"/>
      <c r="BD372" s="62"/>
      <c r="BE372" s="62"/>
      <c r="BF372" s="62"/>
      <c r="BG372" s="62"/>
      <c r="BH372" s="62"/>
      <c r="BI372" s="62"/>
      <c r="BJ372" s="62"/>
      <c r="BK372" s="62"/>
      <c r="BL372" s="62"/>
      <c r="BM372" s="62"/>
      <c r="BN372" s="62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62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62"/>
      <c r="AF373" s="62"/>
      <c r="AG373" s="62"/>
      <c r="AH373" s="62"/>
      <c r="AI373" s="62"/>
      <c r="AJ373" s="62"/>
      <c r="AK373" s="62"/>
      <c r="AL373" s="62"/>
      <c r="AM373" s="62"/>
      <c r="AN373" s="62"/>
      <c r="AO373" s="62"/>
      <c r="AP373" s="62"/>
      <c r="AQ373" s="62"/>
      <c r="AR373" s="62"/>
      <c r="AS373" s="62"/>
      <c r="AT373" s="62"/>
      <c r="AU373" s="62"/>
      <c r="AV373" s="62"/>
      <c r="AW373" s="62"/>
      <c r="AX373" s="62"/>
      <c r="AY373" s="62"/>
      <c r="AZ373" s="62"/>
      <c r="BA373" s="62"/>
      <c r="BB373" s="62"/>
      <c r="BC373" s="62"/>
      <c r="BD373" s="62"/>
      <c r="BE373" s="62"/>
      <c r="BF373" s="62"/>
      <c r="BG373" s="62"/>
      <c r="BH373" s="62"/>
      <c r="BI373" s="62"/>
      <c r="BJ373" s="62"/>
      <c r="BK373" s="62"/>
      <c r="BL373" s="62"/>
      <c r="BM373" s="62"/>
      <c r="BN373" s="62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62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62"/>
      <c r="AF374" s="62"/>
      <c r="AG374" s="62"/>
      <c r="AH374" s="62"/>
      <c r="AI374" s="62"/>
      <c r="AJ374" s="62"/>
      <c r="AK374" s="62"/>
      <c r="AL374" s="62"/>
      <c r="AM374" s="62"/>
      <c r="AN374" s="62"/>
      <c r="AO374" s="62"/>
      <c r="AP374" s="62"/>
      <c r="AQ374" s="62"/>
      <c r="AR374" s="62"/>
      <c r="AS374" s="62"/>
      <c r="AT374" s="62"/>
      <c r="AU374" s="62"/>
      <c r="AV374" s="62"/>
      <c r="AW374" s="62"/>
      <c r="AX374" s="62"/>
      <c r="AY374" s="62"/>
      <c r="AZ374" s="62"/>
      <c r="BA374" s="62"/>
      <c r="BB374" s="62"/>
      <c r="BC374" s="62"/>
      <c r="BD374" s="62"/>
      <c r="BE374" s="62"/>
      <c r="BF374" s="62"/>
      <c r="BG374" s="62"/>
      <c r="BH374" s="62"/>
      <c r="BI374" s="62"/>
      <c r="BJ374" s="62"/>
      <c r="BK374" s="62"/>
      <c r="BL374" s="62"/>
      <c r="BM374" s="62"/>
      <c r="BN374" s="62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62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62"/>
      <c r="AF375" s="62"/>
      <c r="AG375" s="62"/>
      <c r="AH375" s="62"/>
      <c r="AI375" s="62"/>
      <c r="AJ375" s="62"/>
      <c r="AK375" s="62"/>
      <c r="AL375" s="62"/>
      <c r="AM375" s="62"/>
      <c r="AN375" s="62"/>
      <c r="AO375" s="62"/>
      <c r="AP375" s="62"/>
      <c r="AQ375" s="62"/>
      <c r="AR375" s="62"/>
      <c r="AS375" s="62"/>
      <c r="AT375" s="62"/>
      <c r="AU375" s="62"/>
      <c r="AV375" s="62"/>
      <c r="AW375" s="62"/>
      <c r="AX375" s="62"/>
      <c r="AY375" s="62"/>
      <c r="AZ375" s="62"/>
      <c r="BA375" s="62"/>
      <c r="BB375" s="62"/>
      <c r="BC375" s="62"/>
      <c r="BD375" s="62"/>
      <c r="BE375" s="62"/>
      <c r="BF375" s="62"/>
      <c r="BG375" s="62"/>
      <c r="BH375" s="62"/>
      <c r="BI375" s="62"/>
      <c r="BJ375" s="62"/>
      <c r="BK375" s="62"/>
      <c r="BL375" s="62"/>
      <c r="BM375" s="62"/>
      <c r="BN375" s="62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62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62"/>
      <c r="AF376" s="62"/>
      <c r="AG376" s="62"/>
      <c r="AH376" s="62"/>
      <c r="AI376" s="62"/>
      <c r="AJ376" s="62"/>
      <c r="AK376" s="62"/>
      <c r="AL376" s="62"/>
      <c r="AM376" s="62"/>
      <c r="AN376" s="62"/>
      <c r="AO376" s="62"/>
      <c r="AP376" s="62"/>
      <c r="AQ376" s="62"/>
      <c r="AR376" s="62"/>
      <c r="AS376" s="62"/>
      <c r="AT376" s="62"/>
      <c r="AU376" s="62"/>
      <c r="AV376" s="62"/>
      <c r="AW376" s="62"/>
      <c r="AX376" s="62"/>
      <c r="AY376" s="62"/>
      <c r="AZ376" s="62"/>
      <c r="BA376" s="62"/>
      <c r="BB376" s="62"/>
      <c r="BC376" s="62"/>
      <c r="BD376" s="62"/>
      <c r="BE376" s="62"/>
      <c r="BF376" s="62"/>
      <c r="BG376" s="62"/>
      <c r="BH376" s="62"/>
      <c r="BI376" s="62"/>
      <c r="BJ376" s="62"/>
      <c r="BK376" s="62"/>
      <c r="BL376" s="62"/>
      <c r="BM376" s="62"/>
      <c r="BN376" s="62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62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62"/>
      <c r="AF377" s="62"/>
      <c r="AG377" s="62"/>
      <c r="AH377" s="62"/>
      <c r="AI377" s="62"/>
      <c r="AJ377" s="62"/>
      <c r="AK377" s="62"/>
      <c r="AL377" s="62"/>
      <c r="AM377" s="62"/>
      <c r="AN377" s="62"/>
      <c r="AO377" s="62"/>
      <c r="AP377" s="62"/>
      <c r="AQ377" s="62"/>
      <c r="AR377" s="62"/>
      <c r="AS377" s="62"/>
      <c r="AT377" s="62"/>
      <c r="AU377" s="62"/>
      <c r="AV377" s="62"/>
      <c r="AW377" s="62"/>
      <c r="AX377" s="62"/>
      <c r="AY377" s="62"/>
      <c r="AZ377" s="62"/>
      <c r="BA377" s="62"/>
      <c r="BB377" s="62"/>
      <c r="BC377" s="62"/>
      <c r="BD377" s="62"/>
      <c r="BE377" s="62"/>
      <c r="BF377" s="62"/>
      <c r="BG377" s="62"/>
      <c r="BH377" s="62"/>
      <c r="BI377" s="62"/>
      <c r="BJ377" s="62"/>
      <c r="BK377" s="62"/>
      <c r="BL377" s="62"/>
      <c r="BM377" s="62"/>
      <c r="BN377" s="62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62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62"/>
      <c r="AF378" s="62"/>
      <c r="AG378" s="62"/>
      <c r="AH378" s="62"/>
      <c r="AI378" s="62"/>
      <c r="AJ378" s="62"/>
      <c r="AK378" s="62"/>
      <c r="AL378" s="62"/>
      <c r="AM378" s="62"/>
      <c r="AN378" s="62"/>
      <c r="AO378" s="62"/>
      <c r="AP378" s="62"/>
      <c r="AQ378" s="62"/>
      <c r="AR378" s="62"/>
      <c r="AS378" s="62"/>
      <c r="AT378" s="62"/>
      <c r="AU378" s="62"/>
      <c r="AV378" s="62"/>
      <c r="AW378" s="62"/>
      <c r="AX378" s="62"/>
      <c r="AY378" s="62"/>
      <c r="AZ378" s="62"/>
      <c r="BA378" s="62"/>
      <c r="BB378" s="62"/>
      <c r="BC378" s="62"/>
      <c r="BD378" s="62"/>
      <c r="BE378" s="62"/>
      <c r="BF378" s="62"/>
      <c r="BG378" s="62"/>
      <c r="BH378" s="62"/>
      <c r="BI378" s="62"/>
      <c r="BJ378" s="62"/>
      <c r="BK378" s="62"/>
      <c r="BL378" s="62"/>
      <c r="BM378" s="62"/>
      <c r="BN378" s="62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62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62"/>
      <c r="AF379" s="62"/>
      <c r="AG379" s="62"/>
      <c r="AH379" s="62"/>
      <c r="AI379" s="62"/>
      <c r="AJ379" s="62"/>
      <c r="AK379" s="62"/>
      <c r="AL379" s="62"/>
      <c r="AM379" s="62"/>
      <c r="AN379" s="62"/>
      <c r="AO379" s="62"/>
      <c r="AP379" s="62"/>
      <c r="AQ379" s="62"/>
      <c r="AR379" s="62"/>
      <c r="AS379" s="62"/>
      <c r="AT379" s="62"/>
      <c r="AU379" s="62"/>
      <c r="AV379" s="62"/>
      <c r="AW379" s="62"/>
      <c r="AX379" s="62"/>
      <c r="AY379" s="62"/>
      <c r="AZ379" s="62"/>
      <c r="BA379" s="62"/>
      <c r="BB379" s="62"/>
      <c r="BC379" s="62"/>
      <c r="BD379" s="62"/>
      <c r="BE379" s="62"/>
      <c r="BF379" s="62"/>
      <c r="BG379" s="62"/>
      <c r="BH379" s="62"/>
      <c r="BI379" s="62"/>
      <c r="BJ379" s="62"/>
      <c r="BK379" s="62"/>
      <c r="BL379" s="62"/>
      <c r="BM379" s="62"/>
      <c r="BN379" s="62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62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62"/>
      <c r="AF380" s="62"/>
      <c r="AG380" s="62"/>
      <c r="AH380" s="62"/>
      <c r="AI380" s="62"/>
      <c r="AJ380" s="62"/>
      <c r="AK380" s="62"/>
      <c r="AL380" s="62"/>
      <c r="AM380" s="62"/>
      <c r="AN380" s="62"/>
      <c r="AO380" s="62"/>
      <c r="AP380" s="62"/>
      <c r="AQ380" s="62"/>
      <c r="AR380" s="62"/>
      <c r="AS380" s="62"/>
      <c r="AT380" s="62"/>
      <c r="AU380" s="62"/>
      <c r="AV380" s="62"/>
      <c r="AW380" s="62"/>
      <c r="AX380" s="62"/>
      <c r="AY380" s="62"/>
      <c r="AZ380" s="62"/>
      <c r="BA380" s="62"/>
      <c r="BB380" s="62"/>
      <c r="BC380" s="62"/>
      <c r="BD380" s="62"/>
      <c r="BE380" s="62"/>
      <c r="BF380" s="62"/>
      <c r="BG380" s="62"/>
      <c r="BH380" s="62"/>
      <c r="BI380" s="62"/>
      <c r="BJ380" s="62"/>
      <c r="BK380" s="62"/>
      <c r="BL380" s="62"/>
      <c r="BM380" s="62"/>
      <c r="BN380" s="62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62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62"/>
      <c r="AF381" s="62"/>
      <c r="AG381" s="62"/>
      <c r="AH381" s="62"/>
      <c r="AI381" s="62"/>
      <c r="AJ381" s="62"/>
      <c r="AK381" s="62"/>
      <c r="AL381" s="62"/>
      <c r="AM381" s="62"/>
      <c r="AN381" s="62"/>
      <c r="AO381" s="62"/>
      <c r="AP381" s="62"/>
      <c r="AQ381" s="62"/>
      <c r="AR381" s="62"/>
      <c r="AS381" s="62"/>
      <c r="AT381" s="62"/>
      <c r="AU381" s="62"/>
      <c r="AV381" s="62"/>
      <c r="AW381" s="62"/>
      <c r="AX381" s="62"/>
      <c r="AY381" s="62"/>
      <c r="AZ381" s="62"/>
      <c r="BA381" s="62"/>
      <c r="BB381" s="62"/>
      <c r="BC381" s="62"/>
      <c r="BD381" s="62"/>
      <c r="BE381" s="62"/>
      <c r="BF381" s="62"/>
      <c r="BG381" s="62"/>
      <c r="BH381" s="62"/>
      <c r="BI381" s="62"/>
      <c r="BJ381" s="62"/>
      <c r="BK381" s="62"/>
      <c r="BL381" s="62"/>
      <c r="BM381" s="62"/>
      <c r="BN381" s="62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62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62"/>
      <c r="AQ382" s="62"/>
      <c r="AR382" s="62"/>
      <c r="AS382" s="62"/>
      <c r="AT382" s="62"/>
      <c r="AU382" s="62"/>
      <c r="AV382" s="62"/>
      <c r="AW382" s="62"/>
      <c r="AX382" s="62"/>
      <c r="AY382" s="62"/>
      <c r="AZ382" s="62"/>
      <c r="BA382" s="62"/>
      <c r="BB382" s="62"/>
      <c r="BC382" s="62"/>
      <c r="BD382" s="62"/>
      <c r="BE382" s="62"/>
      <c r="BF382" s="62"/>
      <c r="BG382" s="62"/>
      <c r="BH382" s="62"/>
      <c r="BI382" s="62"/>
      <c r="BJ382" s="62"/>
      <c r="BK382" s="62"/>
      <c r="BL382" s="62"/>
      <c r="BM382" s="62"/>
      <c r="BN382" s="62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62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62"/>
      <c r="AF383" s="62"/>
      <c r="AG383" s="62"/>
      <c r="AH383" s="62"/>
      <c r="AI383" s="62"/>
      <c r="AJ383" s="62"/>
      <c r="AK383" s="62"/>
      <c r="AL383" s="62"/>
      <c r="AM383" s="62"/>
      <c r="AN383" s="62"/>
      <c r="AO383" s="62"/>
      <c r="AP383" s="62"/>
      <c r="AQ383" s="62"/>
      <c r="AR383" s="62"/>
      <c r="AS383" s="62"/>
      <c r="AT383" s="62"/>
      <c r="AU383" s="62"/>
      <c r="AV383" s="62"/>
      <c r="AW383" s="62"/>
      <c r="AX383" s="62"/>
      <c r="AY383" s="62"/>
      <c r="AZ383" s="62"/>
      <c r="BA383" s="62"/>
      <c r="BB383" s="62"/>
      <c r="BC383" s="62"/>
      <c r="BD383" s="62"/>
      <c r="BE383" s="62"/>
      <c r="BF383" s="62"/>
      <c r="BG383" s="62"/>
      <c r="BH383" s="62"/>
      <c r="BI383" s="62"/>
      <c r="BJ383" s="62"/>
      <c r="BK383" s="62"/>
      <c r="BL383" s="62"/>
      <c r="BM383" s="62"/>
      <c r="BN383" s="62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62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62"/>
      <c r="AF384" s="62"/>
      <c r="AG384" s="62"/>
      <c r="AH384" s="62"/>
      <c r="AI384" s="62"/>
      <c r="AJ384" s="62"/>
      <c r="AK384" s="62"/>
      <c r="AL384" s="62"/>
      <c r="AM384" s="62"/>
      <c r="AN384" s="62"/>
      <c r="AO384" s="62"/>
      <c r="AP384" s="62"/>
      <c r="AQ384" s="62"/>
      <c r="AR384" s="62"/>
      <c r="AS384" s="62"/>
      <c r="AT384" s="62"/>
      <c r="AU384" s="62"/>
      <c r="AV384" s="62"/>
      <c r="AW384" s="62"/>
      <c r="AX384" s="62"/>
      <c r="AY384" s="62"/>
      <c r="AZ384" s="62"/>
      <c r="BA384" s="62"/>
      <c r="BB384" s="62"/>
      <c r="BC384" s="62"/>
      <c r="BD384" s="62"/>
      <c r="BE384" s="62"/>
      <c r="BF384" s="62"/>
      <c r="BG384" s="62"/>
      <c r="BH384" s="62"/>
      <c r="BI384" s="62"/>
      <c r="BJ384" s="62"/>
      <c r="BK384" s="62"/>
      <c r="BL384" s="62"/>
      <c r="BM384" s="62"/>
      <c r="BN384" s="62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62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62"/>
      <c r="AF385" s="62"/>
      <c r="AG385" s="62"/>
      <c r="AH385" s="62"/>
      <c r="AI385" s="62"/>
      <c r="AJ385" s="62"/>
      <c r="AK385" s="62"/>
      <c r="AL385" s="62"/>
      <c r="AM385" s="62"/>
      <c r="AN385" s="62"/>
      <c r="AO385" s="62"/>
      <c r="AP385" s="62"/>
      <c r="AQ385" s="62"/>
      <c r="AR385" s="62"/>
      <c r="AS385" s="62"/>
      <c r="AT385" s="62"/>
      <c r="AU385" s="62"/>
      <c r="AV385" s="62"/>
      <c r="AW385" s="62"/>
      <c r="AX385" s="62"/>
      <c r="AY385" s="62"/>
      <c r="AZ385" s="62"/>
      <c r="BA385" s="62"/>
      <c r="BB385" s="62"/>
      <c r="BC385" s="62"/>
      <c r="BD385" s="62"/>
      <c r="BE385" s="62"/>
      <c r="BF385" s="62"/>
      <c r="BG385" s="62"/>
      <c r="BH385" s="62"/>
      <c r="BI385" s="62"/>
      <c r="BJ385" s="62"/>
      <c r="BK385" s="62"/>
      <c r="BL385" s="62"/>
      <c r="BM385" s="62"/>
      <c r="BN385" s="62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62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/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2"/>
      <c r="BJ386" s="62"/>
      <c r="BK386" s="62"/>
      <c r="BL386" s="62"/>
      <c r="BM386" s="62"/>
      <c r="BN386" s="62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62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2"/>
      <c r="BJ387" s="62"/>
      <c r="BK387" s="62"/>
      <c r="BL387" s="62"/>
      <c r="BM387" s="62"/>
      <c r="BN387" s="62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62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62"/>
      <c r="AF388" s="62"/>
      <c r="AG388" s="62"/>
      <c r="AH388" s="62"/>
      <c r="AI388" s="62"/>
      <c r="AJ388" s="62"/>
      <c r="AK388" s="62"/>
      <c r="AL388" s="62"/>
      <c r="AM388" s="62"/>
      <c r="AN388" s="62"/>
      <c r="AO388" s="62"/>
      <c r="AP388" s="62"/>
      <c r="AQ388" s="62"/>
      <c r="AR388" s="62"/>
      <c r="AS388" s="62"/>
      <c r="AT388" s="62"/>
      <c r="AU388" s="62"/>
      <c r="AV388" s="62"/>
      <c r="AW388" s="62"/>
      <c r="AX388" s="62"/>
      <c r="AY388" s="62"/>
      <c r="AZ388" s="62"/>
      <c r="BA388" s="62"/>
      <c r="BB388" s="62"/>
      <c r="BC388" s="62"/>
      <c r="BD388" s="62"/>
      <c r="BE388" s="62"/>
      <c r="BF388" s="62"/>
      <c r="BG388" s="62"/>
      <c r="BH388" s="62"/>
      <c r="BI388" s="62"/>
      <c r="BJ388" s="62"/>
      <c r="BK388" s="62"/>
      <c r="BL388" s="62"/>
      <c r="BM388" s="62"/>
      <c r="BN388" s="62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62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62"/>
      <c r="AF389" s="62"/>
      <c r="AG389" s="62"/>
      <c r="AH389" s="62"/>
      <c r="AI389" s="62"/>
      <c r="AJ389" s="62"/>
      <c r="AK389" s="62"/>
      <c r="AL389" s="62"/>
      <c r="AM389" s="62"/>
      <c r="AN389" s="62"/>
      <c r="AO389" s="62"/>
      <c r="AP389" s="62"/>
      <c r="AQ389" s="62"/>
      <c r="AR389" s="62"/>
      <c r="AS389" s="62"/>
      <c r="AT389" s="62"/>
      <c r="AU389" s="62"/>
      <c r="AV389" s="62"/>
      <c r="AW389" s="62"/>
      <c r="AX389" s="62"/>
      <c r="AY389" s="62"/>
      <c r="AZ389" s="62"/>
      <c r="BA389" s="62"/>
      <c r="BB389" s="62"/>
      <c r="BC389" s="62"/>
      <c r="BD389" s="62"/>
      <c r="BE389" s="62"/>
      <c r="BF389" s="62"/>
      <c r="BG389" s="62"/>
      <c r="BH389" s="62"/>
      <c r="BI389" s="62"/>
      <c r="BJ389" s="62"/>
      <c r="BK389" s="62"/>
      <c r="BL389" s="62"/>
      <c r="BM389" s="62"/>
      <c r="BN389" s="62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62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62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62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62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62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62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62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62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62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62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62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62"/>
      <c r="AF400" s="62"/>
      <c r="AG400" s="62"/>
      <c r="AH400" s="62"/>
      <c r="AI400" s="62"/>
      <c r="AJ400" s="62"/>
      <c r="AK400" s="62"/>
      <c r="AL400" s="62"/>
      <c r="AM400" s="62"/>
      <c r="AN400" s="62"/>
      <c r="AO400" s="62"/>
      <c r="AP400" s="62"/>
      <c r="AQ400" s="62"/>
      <c r="AR400" s="62"/>
      <c r="AS400" s="62"/>
      <c r="AT400" s="62"/>
      <c r="AU400" s="62"/>
      <c r="AV400" s="62"/>
      <c r="AW400" s="62"/>
      <c r="AX400" s="62"/>
      <c r="AY400" s="62"/>
      <c r="AZ400" s="62"/>
      <c r="BA400" s="62"/>
      <c r="BB400" s="62"/>
      <c r="BC400" s="62"/>
      <c r="BD400" s="62"/>
      <c r="BE400" s="62"/>
      <c r="BF400" s="62"/>
      <c r="BG400" s="62"/>
      <c r="BH400" s="62"/>
      <c r="BI400" s="62"/>
      <c r="BJ400" s="62"/>
      <c r="BK400" s="62"/>
      <c r="BL400" s="62"/>
      <c r="BM400" s="62"/>
      <c r="BN400" s="62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62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62"/>
      <c r="AF401" s="62"/>
      <c r="AG401" s="62"/>
      <c r="AH401" s="62"/>
      <c r="AI401" s="62"/>
      <c r="AJ401" s="62"/>
      <c r="AK401" s="62"/>
      <c r="AL401" s="62"/>
      <c r="AM401" s="62"/>
      <c r="AN401" s="62"/>
      <c r="AO401" s="62"/>
      <c r="AP401" s="62"/>
      <c r="AQ401" s="62"/>
      <c r="AR401" s="62"/>
      <c r="AS401" s="62"/>
      <c r="AT401" s="62"/>
      <c r="AU401" s="62"/>
      <c r="AV401" s="62"/>
      <c r="AW401" s="62"/>
      <c r="AX401" s="62"/>
      <c r="AY401" s="62"/>
      <c r="AZ401" s="62"/>
      <c r="BA401" s="62"/>
      <c r="BB401" s="62"/>
      <c r="BC401" s="62"/>
      <c r="BD401" s="62"/>
      <c r="BE401" s="62"/>
      <c r="BF401" s="62"/>
      <c r="BG401" s="62"/>
      <c r="BH401" s="62"/>
      <c r="BI401" s="62"/>
      <c r="BJ401" s="62"/>
      <c r="BK401" s="62"/>
      <c r="BL401" s="62"/>
      <c r="BM401" s="62"/>
      <c r="BN401" s="62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62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62"/>
      <c r="AF402" s="62"/>
      <c r="AG402" s="62"/>
      <c r="AH402" s="62"/>
      <c r="AI402" s="62"/>
      <c r="AJ402" s="62"/>
      <c r="AK402" s="62"/>
      <c r="AL402" s="62"/>
      <c r="AM402" s="62"/>
      <c r="AN402" s="62"/>
      <c r="AO402" s="62"/>
      <c r="AP402" s="62"/>
      <c r="AQ402" s="62"/>
      <c r="AR402" s="62"/>
      <c r="AS402" s="62"/>
      <c r="AT402" s="62"/>
      <c r="AU402" s="62"/>
      <c r="AV402" s="62"/>
      <c r="AW402" s="62"/>
      <c r="AX402" s="62"/>
      <c r="AY402" s="62"/>
      <c r="AZ402" s="62"/>
      <c r="BA402" s="62"/>
      <c r="BB402" s="62"/>
      <c r="BC402" s="62"/>
      <c r="BD402" s="62"/>
      <c r="BE402" s="62"/>
      <c r="BF402" s="62"/>
      <c r="BG402" s="62"/>
      <c r="BH402" s="62"/>
      <c r="BI402" s="62"/>
      <c r="BJ402" s="62"/>
      <c r="BK402" s="62"/>
      <c r="BL402" s="62"/>
      <c r="BM402" s="62"/>
      <c r="BN402" s="62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62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62"/>
      <c r="AF403" s="62"/>
      <c r="AG403" s="62"/>
      <c r="AH403" s="62"/>
      <c r="AI403" s="62"/>
      <c r="AJ403" s="62"/>
      <c r="AK403" s="62"/>
      <c r="AL403" s="62"/>
      <c r="AM403" s="62"/>
      <c r="AN403" s="62"/>
      <c r="AO403" s="62"/>
      <c r="AP403" s="62"/>
      <c r="AQ403" s="62"/>
      <c r="AR403" s="62"/>
      <c r="AS403" s="62"/>
      <c r="AT403" s="62"/>
      <c r="AU403" s="62"/>
      <c r="AV403" s="62"/>
      <c r="AW403" s="62"/>
      <c r="AX403" s="62"/>
      <c r="AY403" s="62"/>
      <c r="AZ403" s="62"/>
      <c r="BA403" s="62"/>
      <c r="BB403" s="62"/>
      <c r="BC403" s="62"/>
      <c r="BD403" s="62"/>
      <c r="BE403" s="62"/>
      <c r="BF403" s="62"/>
      <c r="BG403" s="62"/>
      <c r="BH403" s="62"/>
      <c r="BI403" s="62"/>
      <c r="BJ403" s="62"/>
      <c r="BK403" s="62"/>
      <c r="BL403" s="62"/>
      <c r="BM403" s="62"/>
      <c r="BN403" s="62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62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62"/>
      <c r="AF404" s="62"/>
      <c r="AG404" s="62"/>
      <c r="AH404" s="62"/>
      <c r="AI404" s="62"/>
      <c r="AJ404" s="62"/>
      <c r="AK404" s="62"/>
      <c r="AL404" s="62"/>
      <c r="AM404" s="62"/>
      <c r="AN404" s="62"/>
      <c r="AO404" s="62"/>
      <c r="AP404" s="62"/>
      <c r="AQ404" s="62"/>
      <c r="AR404" s="62"/>
      <c r="AS404" s="62"/>
      <c r="AT404" s="62"/>
      <c r="AU404" s="62"/>
      <c r="AV404" s="62"/>
      <c r="AW404" s="62"/>
      <c r="AX404" s="62"/>
      <c r="AY404" s="62"/>
      <c r="AZ404" s="62"/>
      <c r="BA404" s="62"/>
      <c r="BB404" s="62"/>
      <c r="BC404" s="62"/>
      <c r="BD404" s="62"/>
      <c r="BE404" s="62"/>
      <c r="BF404" s="62"/>
      <c r="BG404" s="62"/>
      <c r="BH404" s="62"/>
      <c r="BI404" s="62"/>
      <c r="BJ404" s="62"/>
      <c r="BK404" s="62"/>
      <c r="BL404" s="62"/>
      <c r="BM404" s="62"/>
      <c r="BN404" s="62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62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62"/>
      <c r="AF405" s="62"/>
      <c r="AG405" s="62"/>
      <c r="AH405" s="62"/>
      <c r="AI405" s="62"/>
      <c r="AJ405" s="62"/>
      <c r="AK405" s="62"/>
      <c r="AL405" s="62"/>
      <c r="AM405" s="62"/>
      <c r="AN405" s="62"/>
      <c r="AO405" s="62"/>
      <c r="AP405" s="62"/>
      <c r="AQ405" s="62"/>
      <c r="AR405" s="62"/>
      <c r="AS405" s="62"/>
      <c r="AT405" s="62"/>
      <c r="AU405" s="62"/>
      <c r="AV405" s="62"/>
      <c r="AW405" s="62"/>
      <c r="AX405" s="62"/>
      <c r="AY405" s="62"/>
      <c r="AZ405" s="62"/>
      <c r="BA405" s="62"/>
      <c r="BB405" s="62"/>
      <c r="BC405" s="62"/>
      <c r="BD405" s="62"/>
      <c r="BE405" s="62"/>
      <c r="BF405" s="62"/>
      <c r="BG405" s="62"/>
      <c r="BH405" s="62"/>
      <c r="BI405" s="62"/>
      <c r="BJ405" s="62"/>
      <c r="BK405" s="62"/>
      <c r="BL405" s="62"/>
      <c r="BM405" s="62"/>
      <c r="BN405" s="62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62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62"/>
      <c r="AF406" s="62"/>
      <c r="AG406" s="62"/>
      <c r="AH406" s="62"/>
      <c r="AI406" s="62"/>
      <c r="AJ406" s="62"/>
      <c r="AK406" s="62"/>
      <c r="AL406" s="62"/>
      <c r="AM406" s="62"/>
      <c r="AN406" s="62"/>
      <c r="AO406" s="62"/>
      <c r="AP406" s="62"/>
      <c r="AQ406" s="62"/>
      <c r="AR406" s="62"/>
      <c r="AS406" s="62"/>
      <c r="AT406" s="62"/>
      <c r="AU406" s="62"/>
      <c r="AV406" s="62"/>
      <c r="AW406" s="62"/>
      <c r="AX406" s="62"/>
      <c r="AY406" s="62"/>
      <c r="AZ406" s="62"/>
      <c r="BA406" s="62"/>
      <c r="BB406" s="62"/>
      <c r="BC406" s="62"/>
      <c r="BD406" s="62"/>
      <c r="BE406" s="62"/>
      <c r="BF406" s="62"/>
      <c r="BG406" s="62"/>
      <c r="BH406" s="62"/>
      <c r="BI406" s="62"/>
      <c r="BJ406" s="62"/>
      <c r="BK406" s="62"/>
      <c r="BL406" s="62"/>
      <c r="BM406" s="62"/>
      <c r="BN406" s="62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62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62"/>
      <c r="AF407" s="62"/>
      <c r="AG407" s="62"/>
      <c r="AH407" s="62"/>
      <c r="AI407" s="62"/>
      <c r="AJ407" s="62"/>
      <c r="AK407" s="62"/>
      <c r="AL407" s="62"/>
      <c r="AM407" s="62"/>
      <c r="AN407" s="62"/>
      <c r="AO407" s="62"/>
      <c r="AP407" s="62"/>
      <c r="AQ407" s="62"/>
      <c r="AR407" s="62"/>
      <c r="AS407" s="62"/>
      <c r="AT407" s="62"/>
      <c r="AU407" s="62"/>
      <c r="AV407" s="62"/>
      <c r="AW407" s="62"/>
      <c r="AX407" s="62"/>
      <c r="AY407" s="62"/>
      <c r="AZ407" s="62"/>
      <c r="BA407" s="62"/>
      <c r="BB407" s="62"/>
      <c r="BC407" s="62"/>
      <c r="BD407" s="62"/>
      <c r="BE407" s="62"/>
      <c r="BF407" s="62"/>
      <c r="BG407" s="62"/>
      <c r="BH407" s="62"/>
      <c r="BI407" s="62"/>
      <c r="BJ407" s="62"/>
      <c r="BK407" s="62"/>
      <c r="BL407" s="62"/>
      <c r="BM407" s="62"/>
      <c r="BN407" s="62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62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62"/>
      <c r="AF408" s="62"/>
      <c r="AG408" s="62"/>
      <c r="AH408" s="62"/>
      <c r="AI408" s="62"/>
      <c r="AJ408" s="62"/>
      <c r="AK408" s="62"/>
      <c r="AL408" s="62"/>
      <c r="AM408" s="62"/>
      <c r="AN408" s="62"/>
      <c r="AO408" s="62"/>
      <c r="AP408" s="62"/>
      <c r="AQ408" s="62"/>
      <c r="AR408" s="62"/>
      <c r="AS408" s="62"/>
      <c r="AT408" s="62"/>
      <c r="AU408" s="62"/>
      <c r="AV408" s="62"/>
      <c r="AW408" s="62"/>
      <c r="AX408" s="62"/>
      <c r="AY408" s="62"/>
      <c r="AZ408" s="62"/>
      <c r="BA408" s="62"/>
      <c r="BB408" s="62"/>
      <c r="BC408" s="62"/>
      <c r="BD408" s="62"/>
      <c r="BE408" s="62"/>
      <c r="BF408" s="62"/>
      <c r="BG408" s="62"/>
      <c r="BH408" s="62"/>
      <c r="BI408" s="62"/>
      <c r="BJ408" s="62"/>
      <c r="BK408" s="62"/>
      <c r="BL408" s="62"/>
      <c r="BM408" s="62"/>
      <c r="BN408" s="62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62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62"/>
      <c r="AF409" s="62"/>
      <c r="AG409" s="62"/>
      <c r="AH409" s="62"/>
      <c r="AI409" s="62"/>
      <c r="AJ409" s="62"/>
      <c r="AK409" s="62"/>
      <c r="AL409" s="62"/>
      <c r="AM409" s="62"/>
      <c r="AN409" s="62"/>
      <c r="AO409" s="62"/>
      <c r="AP409" s="62"/>
      <c r="AQ409" s="62"/>
      <c r="AR409" s="62"/>
      <c r="AS409" s="62"/>
      <c r="AT409" s="62"/>
      <c r="AU409" s="62"/>
      <c r="AV409" s="62"/>
      <c r="AW409" s="62"/>
      <c r="AX409" s="62"/>
      <c r="AY409" s="62"/>
      <c r="AZ409" s="62"/>
      <c r="BA409" s="62"/>
      <c r="BB409" s="62"/>
      <c r="BC409" s="62"/>
      <c r="BD409" s="62"/>
      <c r="BE409" s="62"/>
      <c r="BF409" s="62"/>
      <c r="BG409" s="62"/>
      <c r="BH409" s="62"/>
      <c r="BI409" s="62"/>
      <c r="BJ409" s="62"/>
      <c r="BK409" s="62"/>
      <c r="BL409" s="62"/>
      <c r="BM409" s="62"/>
      <c r="BN409" s="62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62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62"/>
      <c r="AF410" s="62"/>
      <c r="AG410" s="62"/>
      <c r="AH410" s="62"/>
      <c r="AI410" s="62"/>
      <c r="AJ410" s="62"/>
      <c r="AK410" s="62"/>
      <c r="AL410" s="62"/>
      <c r="AM410" s="62"/>
      <c r="AN410" s="62"/>
      <c r="AO410" s="62"/>
      <c r="AP410" s="62"/>
      <c r="AQ410" s="62"/>
      <c r="AR410" s="62"/>
      <c r="AS410" s="62"/>
      <c r="AT410" s="62"/>
      <c r="AU410" s="62"/>
      <c r="AV410" s="62"/>
      <c r="AW410" s="62"/>
      <c r="AX410" s="62"/>
      <c r="AY410" s="62"/>
      <c r="AZ410" s="62"/>
      <c r="BA410" s="62"/>
      <c r="BB410" s="62"/>
      <c r="BC410" s="62"/>
      <c r="BD410" s="62"/>
      <c r="BE410" s="62"/>
      <c r="BF410" s="62"/>
      <c r="BG410" s="62"/>
      <c r="BH410" s="62"/>
      <c r="BI410" s="62"/>
      <c r="BJ410" s="62"/>
      <c r="BK410" s="62"/>
      <c r="BL410" s="62"/>
      <c r="BM410" s="62"/>
      <c r="BN410" s="62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62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62"/>
      <c r="AF411" s="62"/>
      <c r="AG411" s="62"/>
      <c r="AH411" s="62"/>
      <c r="AI411" s="62"/>
      <c r="AJ411" s="62"/>
      <c r="AK411" s="62"/>
      <c r="AL411" s="62"/>
      <c r="AM411" s="62"/>
      <c r="AN411" s="62"/>
      <c r="AO411" s="62"/>
      <c r="AP411" s="62"/>
      <c r="AQ411" s="62"/>
      <c r="AR411" s="62"/>
      <c r="AS411" s="62"/>
      <c r="AT411" s="62"/>
      <c r="AU411" s="62"/>
      <c r="AV411" s="62"/>
      <c r="AW411" s="62"/>
      <c r="AX411" s="62"/>
      <c r="AY411" s="62"/>
      <c r="AZ411" s="62"/>
      <c r="BA411" s="62"/>
      <c r="BB411" s="62"/>
      <c r="BC411" s="62"/>
      <c r="BD411" s="62"/>
      <c r="BE411" s="62"/>
      <c r="BF411" s="62"/>
      <c r="BG411" s="62"/>
      <c r="BH411" s="62"/>
      <c r="BI411" s="62"/>
      <c r="BJ411" s="62"/>
      <c r="BK411" s="62"/>
      <c r="BL411" s="62"/>
      <c r="BM411" s="62"/>
      <c r="BN411" s="62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62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62"/>
      <c r="AF412" s="62"/>
      <c r="AG412" s="62"/>
      <c r="AH412" s="62"/>
      <c r="AI412" s="62"/>
      <c r="AJ412" s="62"/>
      <c r="AK412" s="62"/>
      <c r="AL412" s="62"/>
      <c r="AM412" s="62"/>
      <c r="AN412" s="62"/>
      <c r="AO412" s="62"/>
      <c r="AP412" s="62"/>
      <c r="AQ412" s="62"/>
      <c r="AR412" s="62"/>
      <c r="AS412" s="62"/>
      <c r="AT412" s="62"/>
      <c r="AU412" s="62"/>
      <c r="AV412" s="62"/>
      <c r="AW412" s="62"/>
      <c r="AX412" s="62"/>
      <c r="AY412" s="62"/>
      <c r="AZ412" s="62"/>
      <c r="BA412" s="62"/>
      <c r="BB412" s="62"/>
      <c r="BC412" s="62"/>
      <c r="BD412" s="62"/>
      <c r="BE412" s="62"/>
      <c r="BF412" s="62"/>
      <c r="BG412" s="62"/>
      <c r="BH412" s="62"/>
      <c r="BI412" s="62"/>
      <c r="BJ412" s="62"/>
      <c r="BK412" s="62"/>
      <c r="BL412" s="62"/>
      <c r="BM412" s="62"/>
      <c r="BN412" s="62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62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62"/>
      <c r="AF413" s="62"/>
      <c r="AG413" s="62"/>
      <c r="AH413" s="62"/>
      <c r="AI413" s="62"/>
      <c r="AJ413" s="62"/>
      <c r="AK413" s="62"/>
      <c r="AL413" s="62"/>
      <c r="AM413" s="62"/>
      <c r="AN413" s="62"/>
      <c r="AO413" s="62"/>
      <c r="AP413" s="62"/>
      <c r="AQ413" s="62"/>
      <c r="AR413" s="62"/>
      <c r="AS413" s="62"/>
      <c r="AT413" s="62"/>
      <c r="AU413" s="62"/>
      <c r="AV413" s="62"/>
      <c r="AW413" s="62"/>
      <c r="AX413" s="62"/>
      <c r="AY413" s="62"/>
      <c r="AZ413" s="62"/>
      <c r="BA413" s="62"/>
      <c r="BB413" s="62"/>
      <c r="BC413" s="62"/>
      <c r="BD413" s="62"/>
      <c r="BE413" s="62"/>
      <c r="BF413" s="62"/>
      <c r="BG413" s="62"/>
      <c r="BH413" s="62"/>
      <c r="BI413" s="62"/>
      <c r="BJ413" s="62"/>
      <c r="BK413" s="62"/>
      <c r="BL413" s="62"/>
      <c r="BM413" s="62"/>
      <c r="BN413" s="62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62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62"/>
      <c r="AF414" s="62"/>
      <c r="AG414" s="62"/>
      <c r="AH414" s="62"/>
      <c r="AI414" s="62"/>
      <c r="AJ414" s="62"/>
      <c r="AK414" s="62"/>
      <c r="AL414" s="62"/>
      <c r="AM414" s="62"/>
      <c r="AN414" s="62"/>
      <c r="AO414" s="62"/>
      <c r="AP414" s="62"/>
      <c r="AQ414" s="62"/>
      <c r="AR414" s="62"/>
      <c r="AS414" s="62"/>
      <c r="AT414" s="62"/>
      <c r="AU414" s="62"/>
      <c r="AV414" s="62"/>
      <c r="AW414" s="62"/>
      <c r="AX414" s="62"/>
      <c r="AY414" s="62"/>
      <c r="AZ414" s="62"/>
      <c r="BA414" s="62"/>
      <c r="BB414" s="62"/>
      <c r="BC414" s="62"/>
      <c r="BD414" s="62"/>
      <c r="BE414" s="62"/>
      <c r="BF414" s="62"/>
      <c r="BG414" s="62"/>
      <c r="BH414" s="62"/>
      <c r="BI414" s="62"/>
      <c r="BJ414" s="62"/>
      <c r="BK414" s="62"/>
      <c r="BL414" s="62"/>
      <c r="BM414" s="62"/>
      <c r="BN414" s="62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62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62"/>
      <c r="AF415" s="62"/>
      <c r="AG415" s="62"/>
      <c r="AH415" s="62"/>
      <c r="AI415" s="62"/>
      <c r="AJ415" s="62"/>
      <c r="AK415" s="62"/>
      <c r="AL415" s="62"/>
      <c r="AM415" s="62"/>
      <c r="AN415" s="62"/>
      <c r="AO415" s="62"/>
      <c r="AP415" s="62"/>
      <c r="AQ415" s="62"/>
      <c r="AR415" s="62"/>
      <c r="AS415" s="62"/>
      <c r="AT415" s="62"/>
      <c r="AU415" s="62"/>
      <c r="AV415" s="62"/>
      <c r="AW415" s="62"/>
      <c r="AX415" s="62"/>
      <c r="AY415" s="62"/>
      <c r="AZ415" s="62"/>
      <c r="BA415" s="62"/>
      <c r="BB415" s="62"/>
      <c r="BC415" s="62"/>
      <c r="BD415" s="62"/>
      <c r="BE415" s="62"/>
      <c r="BF415" s="62"/>
      <c r="BG415" s="62"/>
      <c r="BH415" s="62"/>
      <c r="BI415" s="62"/>
      <c r="BJ415" s="62"/>
      <c r="BK415" s="62"/>
      <c r="BL415" s="62"/>
      <c r="BM415" s="62"/>
      <c r="BN415" s="62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62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62"/>
      <c r="AF416" s="62"/>
      <c r="AG416" s="62"/>
      <c r="AH416" s="62"/>
      <c r="AI416" s="62"/>
      <c r="AJ416" s="62"/>
      <c r="AK416" s="62"/>
      <c r="AL416" s="62"/>
      <c r="AM416" s="62"/>
      <c r="AN416" s="62"/>
      <c r="AO416" s="62"/>
      <c r="AP416" s="62"/>
      <c r="AQ416" s="62"/>
      <c r="AR416" s="62"/>
      <c r="AS416" s="62"/>
      <c r="AT416" s="62"/>
      <c r="AU416" s="62"/>
      <c r="AV416" s="62"/>
      <c r="AW416" s="62"/>
      <c r="AX416" s="62"/>
      <c r="AY416" s="62"/>
      <c r="AZ416" s="62"/>
      <c r="BA416" s="62"/>
      <c r="BB416" s="62"/>
      <c r="BC416" s="62"/>
      <c r="BD416" s="62"/>
      <c r="BE416" s="62"/>
      <c r="BF416" s="62"/>
      <c r="BG416" s="62"/>
      <c r="BH416" s="62"/>
      <c r="BI416" s="62"/>
      <c r="BJ416" s="62"/>
      <c r="BK416" s="62"/>
      <c r="BL416" s="62"/>
      <c r="BM416" s="62"/>
      <c r="BN416" s="62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62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62"/>
      <c r="AF417" s="62"/>
      <c r="AG417" s="62"/>
      <c r="AH417" s="62"/>
      <c r="AI417" s="62"/>
      <c r="AJ417" s="62"/>
      <c r="AK417" s="62"/>
      <c r="AL417" s="62"/>
      <c r="AM417" s="62"/>
      <c r="AN417" s="62"/>
      <c r="AO417" s="62"/>
      <c r="AP417" s="62"/>
      <c r="AQ417" s="62"/>
      <c r="AR417" s="62"/>
      <c r="AS417" s="62"/>
      <c r="AT417" s="62"/>
      <c r="AU417" s="62"/>
      <c r="AV417" s="62"/>
      <c r="AW417" s="62"/>
      <c r="AX417" s="62"/>
      <c r="AY417" s="62"/>
      <c r="AZ417" s="62"/>
      <c r="BA417" s="62"/>
      <c r="BB417" s="62"/>
      <c r="BC417" s="62"/>
      <c r="BD417" s="62"/>
      <c r="BE417" s="62"/>
      <c r="BF417" s="62"/>
      <c r="BG417" s="62"/>
      <c r="BH417" s="62"/>
      <c r="BI417" s="62"/>
      <c r="BJ417" s="62"/>
      <c r="BK417" s="62"/>
      <c r="BL417" s="62"/>
      <c r="BM417" s="62"/>
      <c r="BN417" s="62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62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62"/>
      <c r="AF418" s="62"/>
      <c r="AG418" s="62"/>
      <c r="AH418" s="62"/>
      <c r="AI418" s="62"/>
      <c r="AJ418" s="62"/>
      <c r="AK418" s="62"/>
      <c r="AL418" s="62"/>
      <c r="AM418" s="62"/>
      <c r="AN418" s="62"/>
      <c r="AO418" s="62"/>
      <c r="AP418" s="62"/>
      <c r="AQ418" s="62"/>
      <c r="AR418" s="62"/>
      <c r="AS418" s="62"/>
      <c r="AT418" s="62"/>
      <c r="AU418" s="62"/>
      <c r="AV418" s="62"/>
      <c r="AW418" s="62"/>
      <c r="AX418" s="62"/>
      <c r="AY418" s="62"/>
      <c r="AZ418" s="62"/>
      <c r="BA418" s="62"/>
      <c r="BB418" s="62"/>
      <c r="BC418" s="62"/>
      <c r="BD418" s="62"/>
      <c r="BE418" s="62"/>
      <c r="BF418" s="62"/>
      <c r="BG418" s="62"/>
      <c r="BH418" s="62"/>
      <c r="BI418" s="62"/>
      <c r="BJ418" s="62"/>
      <c r="BK418" s="62"/>
      <c r="BL418" s="62"/>
      <c r="BM418" s="62"/>
      <c r="BN418" s="62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62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62"/>
      <c r="AF419" s="62"/>
      <c r="AG419" s="62"/>
      <c r="AH419" s="62"/>
      <c r="AI419" s="62"/>
      <c r="AJ419" s="62"/>
      <c r="AK419" s="62"/>
      <c r="AL419" s="62"/>
      <c r="AM419" s="62"/>
      <c r="AN419" s="62"/>
      <c r="AO419" s="62"/>
      <c r="AP419" s="62"/>
      <c r="AQ419" s="62"/>
      <c r="AR419" s="62"/>
      <c r="AS419" s="62"/>
      <c r="AT419" s="62"/>
      <c r="AU419" s="62"/>
      <c r="AV419" s="62"/>
      <c r="AW419" s="62"/>
      <c r="AX419" s="62"/>
      <c r="AY419" s="62"/>
      <c r="AZ419" s="62"/>
      <c r="BA419" s="62"/>
      <c r="BB419" s="62"/>
      <c r="BC419" s="62"/>
      <c r="BD419" s="62"/>
      <c r="BE419" s="62"/>
      <c r="BF419" s="62"/>
      <c r="BG419" s="62"/>
      <c r="BH419" s="62"/>
      <c r="BI419" s="62"/>
      <c r="BJ419" s="62"/>
      <c r="BK419" s="62"/>
      <c r="BL419" s="62"/>
      <c r="BM419" s="62"/>
      <c r="BN419" s="62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62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62"/>
      <c r="AF420" s="62"/>
      <c r="AG420" s="62"/>
      <c r="AH420" s="62"/>
      <c r="AI420" s="62"/>
      <c r="AJ420" s="62"/>
      <c r="AK420" s="62"/>
      <c r="AL420" s="62"/>
      <c r="AM420" s="62"/>
      <c r="AN420" s="62"/>
      <c r="AO420" s="62"/>
      <c r="AP420" s="62"/>
      <c r="AQ420" s="62"/>
      <c r="AR420" s="62"/>
      <c r="AS420" s="62"/>
      <c r="AT420" s="62"/>
      <c r="AU420" s="62"/>
      <c r="AV420" s="62"/>
      <c r="AW420" s="62"/>
      <c r="AX420" s="62"/>
      <c r="AY420" s="62"/>
      <c r="AZ420" s="62"/>
      <c r="BA420" s="62"/>
      <c r="BB420" s="62"/>
      <c r="BC420" s="62"/>
      <c r="BD420" s="62"/>
      <c r="BE420" s="62"/>
      <c r="BF420" s="62"/>
      <c r="BG420" s="62"/>
      <c r="BH420" s="62"/>
      <c r="BI420" s="62"/>
      <c r="BJ420" s="62"/>
      <c r="BK420" s="62"/>
      <c r="BL420" s="62"/>
      <c r="BM420" s="62"/>
      <c r="BN420" s="62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62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62"/>
      <c r="AF421" s="62"/>
      <c r="AG421" s="62"/>
      <c r="AH421" s="62"/>
      <c r="AI421" s="62"/>
      <c r="AJ421" s="62"/>
      <c r="AK421" s="62"/>
      <c r="AL421" s="62"/>
      <c r="AM421" s="62"/>
      <c r="AN421" s="62"/>
      <c r="AO421" s="62"/>
      <c r="AP421" s="62"/>
      <c r="AQ421" s="62"/>
      <c r="AR421" s="62"/>
      <c r="AS421" s="62"/>
      <c r="AT421" s="62"/>
      <c r="AU421" s="62"/>
      <c r="AV421" s="62"/>
      <c r="AW421" s="62"/>
      <c r="AX421" s="62"/>
      <c r="AY421" s="62"/>
      <c r="AZ421" s="62"/>
      <c r="BA421" s="62"/>
      <c r="BB421" s="62"/>
      <c r="BC421" s="62"/>
      <c r="BD421" s="62"/>
      <c r="BE421" s="62"/>
      <c r="BF421" s="62"/>
      <c r="BG421" s="62"/>
      <c r="BH421" s="62"/>
      <c r="BI421" s="62"/>
      <c r="BJ421" s="62"/>
      <c r="BK421" s="62"/>
      <c r="BL421" s="62"/>
      <c r="BM421" s="62"/>
      <c r="BN421" s="62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62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62"/>
      <c r="AF422" s="62"/>
      <c r="AG422" s="62"/>
      <c r="AH422" s="62"/>
      <c r="AI422" s="62"/>
      <c r="AJ422" s="62"/>
      <c r="AK422" s="62"/>
      <c r="AL422" s="62"/>
      <c r="AM422" s="62"/>
      <c r="AN422" s="62"/>
      <c r="AO422" s="62"/>
      <c r="AP422" s="62"/>
      <c r="AQ422" s="62"/>
      <c r="AR422" s="62"/>
      <c r="AS422" s="62"/>
      <c r="AT422" s="62"/>
      <c r="AU422" s="62"/>
      <c r="AV422" s="62"/>
      <c r="AW422" s="62"/>
      <c r="AX422" s="62"/>
      <c r="AY422" s="62"/>
      <c r="AZ422" s="62"/>
      <c r="BA422" s="62"/>
      <c r="BB422" s="62"/>
      <c r="BC422" s="62"/>
      <c r="BD422" s="62"/>
      <c r="BE422" s="62"/>
      <c r="BF422" s="62"/>
      <c r="BG422" s="62"/>
      <c r="BH422" s="62"/>
      <c r="BI422" s="62"/>
      <c r="BJ422" s="62"/>
      <c r="BK422" s="62"/>
      <c r="BL422" s="62"/>
      <c r="BM422" s="62"/>
      <c r="BN422" s="62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62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62"/>
      <c r="AF423" s="62"/>
      <c r="AG423" s="62"/>
      <c r="AH423" s="62"/>
      <c r="AI423" s="62"/>
      <c r="AJ423" s="62"/>
      <c r="AK423" s="62"/>
      <c r="AL423" s="62"/>
      <c r="AM423" s="62"/>
      <c r="AN423" s="62"/>
      <c r="AO423" s="62"/>
      <c r="AP423" s="62"/>
      <c r="AQ423" s="62"/>
      <c r="AR423" s="62"/>
      <c r="AS423" s="62"/>
      <c r="AT423" s="62"/>
      <c r="AU423" s="62"/>
      <c r="AV423" s="62"/>
      <c r="AW423" s="62"/>
      <c r="AX423" s="62"/>
      <c r="AY423" s="62"/>
      <c r="AZ423" s="62"/>
      <c r="BA423" s="62"/>
      <c r="BB423" s="62"/>
      <c r="BC423" s="62"/>
      <c r="BD423" s="62"/>
      <c r="BE423" s="62"/>
      <c r="BF423" s="62"/>
      <c r="BG423" s="62"/>
      <c r="BH423" s="62"/>
      <c r="BI423" s="62"/>
      <c r="BJ423" s="62"/>
      <c r="BK423" s="62"/>
      <c r="BL423" s="62"/>
      <c r="BM423" s="62"/>
      <c r="BN423" s="62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62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/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2"/>
      <c r="BJ424" s="62"/>
      <c r="BK424" s="62"/>
      <c r="BL424" s="62"/>
      <c r="BM424" s="62"/>
      <c r="BN424" s="62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62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2"/>
      <c r="BJ425" s="62"/>
      <c r="BK425" s="62"/>
      <c r="BL425" s="62"/>
      <c r="BM425" s="62"/>
      <c r="BN425" s="62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62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62"/>
      <c r="AF426" s="62"/>
      <c r="AG426" s="62"/>
      <c r="AH426" s="62"/>
      <c r="AI426" s="62"/>
      <c r="AJ426" s="62"/>
      <c r="AK426" s="62"/>
      <c r="AL426" s="62"/>
      <c r="AM426" s="62"/>
      <c r="AN426" s="62"/>
      <c r="AO426" s="62"/>
      <c r="AP426" s="62"/>
      <c r="AQ426" s="62"/>
      <c r="AR426" s="62"/>
      <c r="AS426" s="62"/>
      <c r="AT426" s="62"/>
      <c r="AU426" s="62"/>
      <c r="AV426" s="62"/>
      <c r="AW426" s="62"/>
      <c r="AX426" s="62"/>
      <c r="AY426" s="62"/>
      <c r="AZ426" s="62"/>
      <c r="BA426" s="62"/>
      <c r="BB426" s="62"/>
      <c r="BC426" s="62"/>
      <c r="BD426" s="62"/>
      <c r="BE426" s="62"/>
      <c r="BF426" s="62"/>
      <c r="BG426" s="62"/>
      <c r="BH426" s="62"/>
      <c r="BI426" s="62"/>
      <c r="BJ426" s="62"/>
      <c r="BK426" s="62"/>
      <c r="BL426" s="62"/>
      <c r="BM426" s="62"/>
      <c r="BN426" s="62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62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62"/>
      <c r="AF427" s="62"/>
      <c r="AG427" s="62"/>
      <c r="AH427" s="62"/>
      <c r="AI427" s="62"/>
      <c r="AJ427" s="62"/>
      <c r="AK427" s="62"/>
      <c r="AL427" s="62"/>
      <c r="AM427" s="62"/>
      <c r="AN427" s="62"/>
      <c r="AO427" s="62"/>
      <c r="AP427" s="62"/>
      <c r="AQ427" s="62"/>
      <c r="AR427" s="62"/>
      <c r="AS427" s="62"/>
      <c r="AT427" s="62"/>
      <c r="AU427" s="62"/>
      <c r="AV427" s="62"/>
      <c r="AW427" s="62"/>
      <c r="AX427" s="62"/>
      <c r="AY427" s="62"/>
      <c r="AZ427" s="62"/>
      <c r="BA427" s="62"/>
      <c r="BB427" s="62"/>
      <c r="BC427" s="62"/>
      <c r="BD427" s="62"/>
      <c r="BE427" s="62"/>
      <c r="BF427" s="62"/>
      <c r="BG427" s="62"/>
      <c r="BH427" s="62"/>
      <c r="BI427" s="62"/>
      <c r="BJ427" s="62"/>
      <c r="BK427" s="62"/>
      <c r="BL427" s="62"/>
      <c r="BM427" s="62"/>
      <c r="BN427" s="62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62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62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62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62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62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62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62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62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62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62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62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62"/>
      <c r="AF438" s="62"/>
      <c r="AG438" s="62"/>
      <c r="AH438" s="62"/>
      <c r="AI438" s="62"/>
      <c r="AJ438" s="62"/>
      <c r="AK438" s="62"/>
      <c r="AL438" s="62"/>
      <c r="AM438" s="62"/>
      <c r="AN438" s="62"/>
      <c r="AO438" s="62"/>
      <c r="AP438" s="62"/>
      <c r="AQ438" s="62"/>
      <c r="AR438" s="62"/>
      <c r="AS438" s="62"/>
      <c r="AT438" s="62"/>
      <c r="AU438" s="62"/>
      <c r="AV438" s="62"/>
      <c r="AW438" s="62"/>
      <c r="AX438" s="62"/>
      <c r="AY438" s="62"/>
      <c r="AZ438" s="62"/>
      <c r="BA438" s="62"/>
      <c r="BB438" s="62"/>
      <c r="BC438" s="62"/>
      <c r="BD438" s="62"/>
      <c r="BE438" s="62"/>
      <c r="BF438" s="62"/>
      <c r="BG438" s="62"/>
      <c r="BH438" s="62"/>
      <c r="BI438" s="62"/>
      <c r="BJ438" s="62"/>
      <c r="BK438" s="62"/>
      <c r="BL438" s="62"/>
      <c r="BM438" s="62"/>
      <c r="BN438" s="62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62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62"/>
      <c r="AF439" s="62"/>
      <c r="AG439" s="62"/>
      <c r="AH439" s="62"/>
      <c r="AI439" s="62"/>
      <c r="AJ439" s="62"/>
      <c r="AK439" s="62"/>
      <c r="AL439" s="62"/>
      <c r="AM439" s="62"/>
      <c r="AN439" s="62"/>
      <c r="AO439" s="62"/>
      <c r="AP439" s="62"/>
      <c r="AQ439" s="62"/>
      <c r="AR439" s="62"/>
      <c r="AS439" s="62"/>
      <c r="AT439" s="62"/>
      <c r="AU439" s="62"/>
      <c r="AV439" s="62"/>
      <c r="AW439" s="62"/>
      <c r="AX439" s="62"/>
      <c r="AY439" s="62"/>
      <c r="AZ439" s="62"/>
      <c r="BA439" s="62"/>
      <c r="BB439" s="62"/>
      <c r="BC439" s="62"/>
      <c r="BD439" s="62"/>
      <c r="BE439" s="62"/>
      <c r="BF439" s="62"/>
      <c r="BG439" s="62"/>
      <c r="BH439" s="62"/>
      <c r="BI439" s="62"/>
      <c r="BJ439" s="62"/>
      <c r="BK439" s="62"/>
      <c r="BL439" s="62"/>
      <c r="BM439" s="62"/>
      <c r="BN439" s="62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62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62"/>
      <c r="AF440" s="62"/>
      <c r="AG440" s="62"/>
      <c r="AH440" s="62"/>
      <c r="AI440" s="62"/>
      <c r="AJ440" s="62"/>
      <c r="AK440" s="62"/>
      <c r="AL440" s="62"/>
      <c r="AM440" s="62"/>
      <c r="AN440" s="62"/>
      <c r="AO440" s="62"/>
      <c r="AP440" s="62"/>
      <c r="AQ440" s="62"/>
      <c r="AR440" s="62"/>
      <c r="AS440" s="62"/>
      <c r="AT440" s="62"/>
      <c r="AU440" s="62"/>
      <c r="AV440" s="62"/>
      <c r="AW440" s="62"/>
      <c r="AX440" s="62"/>
      <c r="AY440" s="62"/>
      <c r="AZ440" s="62"/>
      <c r="BA440" s="62"/>
      <c r="BB440" s="62"/>
      <c r="BC440" s="62"/>
      <c r="BD440" s="62"/>
      <c r="BE440" s="62"/>
      <c r="BF440" s="62"/>
      <c r="BG440" s="62"/>
      <c r="BH440" s="62"/>
      <c r="BI440" s="62"/>
      <c r="BJ440" s="62"/>
      <c r="BK440" s="62"/>
      <c r="BL440" s="62"/>
      <c r="BM440" s="62"/>
      <c r="BN440" s="62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62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62"/>
      <c r="AF441" s="62"/>
      <c r="AG441" s="62"/>
      <c r="AH441" s="62"/>
      <c r="AI441" s="62"/>
      <c r="AJ441" s="62"/>
      <c r="AK441" s="62"/>
      <c r="AL441" s="62"/>
      <c r="AM441" s="62"/>
      <c r="AN441" s="62"/>
      <c r="AO441" s="62"/>
      <c r="AP441" s="62"/>
      <c r="AQ441" s="62"/>
      <c r="AR441" s="62"/>
      <c r="AS441" s="62"/>
      <c r="AT441" s="62"/>
      <c r="AU441" s="62"/>
      <c r="AV441" s="62"/>
      <c r="AW441" s="62"/>
      <c r="AX441" s="62"/>
      <c r="AY441" s="62"/>
      <c r="AZ441" s="62"/>
      <c r="BA441" s="62"/>
      <c r="BB441" s="62"/>
      <c r="BC441" s="62"/>
      <c r="BD441" s="62"/>
      <c r="BE441" s="62"/>
      <c r="BF441" s="62"/>
      <c r="BG441" s="62"/>
      <c r="BH441" s="62"/>
      <c r="BI441" s="62"/>
      <c r="BJ441" s="62"/>
      <c r="BK441" s="62"/>
      <c r="BL441" s="62"/>
      <c r="BM441" s="62"/>
      <c r="BN441" s="62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62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62"/>
      <c r="AF442" s="62"/>
      <c r="AG442" s="62"/>
      <c r="AH442" s="62"/>
      <c r="AI442" s="62"/>
      <c r="AJ442" s="62"/>
      <c r="AK442" s="62"/>
      <c r="AL442" s="62"/>
      <c r="AM442" s="62"/>
      <c r="AN442" s="62"/>
      <c r="AO442" s="62"/>
      <c r="AP442" s="62"/>
      <c r="AQ442" s="62"/>
      <c r="AR442" s="62"/>
      <c r="AS442" s="62"/>
      <c r="AT442" s="62"/>
      <c r="AU442" s="62"/>
      <c r="AV442" s="62"/>
      <c r="AW442" s="62"/>
      <c r="AX442" s="62"/>
      <c r="AY442" s="62"/>
      <c r="AZ442" s="62"/>
      <c r="BA442" s="62"/>
      <c r="BB442" s="62"/>
      <c r="BC442" s="62"/>
      <c r="BD442" s="62"/>
      <c r="BE442" s="62"/>
      <c r="BF442" s="62"/>
      <c r="BG442" s="62"/>
      <c r="BH442" s="62"/>
      <c r="BI442" s="62"/>
      <c r="BJ442" s="62"/>
      <c r="BK442" s="62"/>
      <c r="BL442" s="62"/>
      <c r="BM442" s="62"/>
      <c r="BN442" s="62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62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62"/>
      <c r="AF443" s="62"/>
      <c r="AG443" s="62"/>
      <c r="AH443" s="62"/>
      <c r="AI443" s="62"/>
      <c r="AJ443" s="62"/>
      <c r="AK443" s="62"/>
      <c r="AL443" s="62"/>
      <c r="AM443" s="62"/>
      <c r="AN443" s="62"/>
      <c r="AO443" s="62"/>
      <c r="AP443" s="62"/>
      <c r="AQ443" s="62"/>
      <c r="AR443" s="62"/>
      <c r="AS443" s="62"/>
      <c r="AT443" s="62"/>
      <c r="AU443" s="62"/>
      <c r="AV443" s="62"/>
      <c r="AW443" s="62"/>
      <c r="AX443" s="62"/>
      <c r="AY443" s="62"/>
      <c r="AZ443" s="62"/>
      <c r="BA443" s="62"/>
      <c r="BB443" s="62"/>
      <c r="BC443" s="62"/>
      <c r="BD443" s="62"/>
      <c r="BE443" s="62"/>
      <c r="BF443" s="62"/>
      <c r="BG443" s="62"/>
      <c r="BH443" s="62"/>
      <c r="BI443" s="62"/>
      <c r="BJ443" s="62"/>
      <c r="BK443" s="62"/>
      <c r="BL443" s="62"/>
      <c r="BM443" s="62"/>
      <c r="BN443" s="62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62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62"/>
      <c r="AF444" s="62"/>
      <c r="AG444" s="62"/>
      <c r="AH444" s="62"/>
      <c r="AI444" s="62"/>
      <c r="AJ444" s="62"/>
      <c r="AK444" s="62"/>
      <c r="AL444" s="62"/>
      <c r="AM444" s="62"/>
      <c r="AN444" s="62"/>
      <c r="AO444" s="62"/>
      <c r="AP444" s="62"/>
      <c r="AQ444" s="62"/>
      <c r="AR444" s="62"/>
      <c r="AS444" s="62"/>
      <c r="AT444" s="62"/>
      <c r="AU444" s="62"/>
      <c r="AV444" s="62"/>
      <c r="AW444" s="62"/>
      <c r="AX444" s="62"/>
      <c r="AY444" s="62"/>
      <c r="AZ444" s="62"/>
      <c r="BA444" s="62"/>
      <c r="BB444" s="62"/>
      <c r="BC444" s="62"/>
      <c r="BD444" s="62"/>
      <c r="BE444" s="62"/>
      <c r="BF444" s="62"/>
      <c r="BG444" s="62"/>
      <c r="BH444" s="62"/>
      <c r="BI444" s="62"/>
      <c r="BJ444" s="62"/>
      <c r="BK444" s="62"/>
      <c r="BL444" s="62"/>
      <c r="BM444" s="62"/>
      <c r="BN444" s="62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62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62"/>
      <c r="AF445" s="62"/>
      <c r="AG445" s="62"/>
      <c r="AH445" s="62"/>
      <c r="AI445" s="62"/>
      <c r="AJ445" s="62"/>
      <c r="AK445" s="62"/>
      <c r="AL445" s="62"/>
      <c r="AM445" s="62"/>
      <c r="AN445" s="62"/>
      <c r="AO445" s="62"/>
      <c r="AP445" s="62"/>
      <c r="AQ445" s="62"/>
      <c r="AR445" s="62"/>
      <c r="AS445" s="62"/>
      <c r="AT445" s="62"/>
      <c r="AU445" s="62"/>
      <c r="AV445" s="62"/>
      <c r="AW445" s="62"/>
      <c r="AX445" s="62"/>
      <c r="AY445" s="62"/>
      <c r="AZ445" s="62"/>
      <c r="BA445" s="62"/>
      <c r="BB445" s="62"/>
      <c r="BC445" s="62"/>
      <c r="BD445" s="62"/>
      <c r="BE445" s="62"/>
      <c r="BF445" s="62"/>
      <c r="BG445" s="62"/>
      <c r="BH445" s="62"/>
      <c r="BI445" s="62"/>
      <c r="BJ445" s="62"/>
      <c r="BK445" s="62"/>
      <c r="BL445" s="62"/>
      <c r="BM445" s="62"/>
      <c r="BN445" s="62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62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62"/>
      <c r="AF446" s="62"/>
      <c r="AG446" s="62"/>
      <c r="AH446" s="62"/>
      <c r="AI446" s="62"/>
      <c r="AJ446" s="62"/>
      <c r="AK446" s="62"/>
      <c r="AL446" s="62"/>
      <c r="AM446" s="62"/>
      <c r="AN446" s="62"/>
      <c r="AO446" s="62"/>
      <c r="AP446" s="62"/>
      <c r="AQ446" s="62"/>
      <c r="AR446" s="62"/>
      <c r="AS446" s="62"/>
      <c r="AT446" s="62"/>
      <c r="AU446" s="62"/>
      <c r="AV446" s="62"/>
      <c r="AW446" s="62"/>
      <c r="AX446" s="62"/>
      <c r="AY446" s="62"/>
      <c r="AZ446" s="62"/>
      <c r="BA446" s="62"/>
      <c r="BB446" s="62"/>
      <c r="BC446" s="62"/>
      <c r="BD446" s="62"/>
      <c r="BE446" s="62"/>
      <c r="BF446" s="62"/>
      <c r="BG446" s="62"/>
      <c r="BH446" s="62"/>
      <c r="BI446" s="62"/>
      <c r="BJ446" s="62"/>
      <c r="BK446" s="62"/>
      <c r="BL446" s="62"/>
      <c r="BM446" s="62"/>
      <c r="BN446" s="62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62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62"/>
      <c r="AF447" s="62"/>
      <c r="AG447" s="62"/>
      <c r="AH447" s="62"/>
      <c r="AI447" s="62"/>
      <c r="AJ447" s="62"/>
      <c r="AK447" s="62"/>
      <c r="AL447" s="62"/>
      <c r="AM447" s="62"/>
      <c r="AN447" s="62"/>
      <c r="AO447" s="62"/>
      <c r="AP447" s="62"/>
      <c r="AQ447" s="62"/>
      <c r="AR447" s="62"/>
      <c r="AS447" s="62"/>
      <c r="AT447" s="62"/>
      <c r="AU447" s="62"/>
      <c r="AV447" s="62"/>
      <c r="AW447" s="62"/>
      <c r="AX447" s="62"/>
      <c r="AY447" s="62"/>
      <c r="AZ447" s="62"/>
      <c r="BA447" s="62"/>
      <c r="BB447" s="62"/>
      <c r="BC447" s="62"/>
      <c r="BD447" s="62"/>
      <c r="BE447" s="62"/>
      <c r="BF447" s="62"/>
      <c r="BG447" s="62"/>
      <c r="BH447" s="62"/>
      <c r="BI447" s="62"/>
      <c r="BJ447" s="62"/>
      <c r="BK447" s="62"/>
      <c r="BL447" s="62"/>
      <c r="BM447" s="62"/>
      <c r="BN447" s="62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62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62"/>
      <c r="AF448" s="62"/>
      <c r="AG448" s="62"/>
      <c r="AH448" s="62"/>
      <c r="AI448" s="62"/>
      <c r="AJ448" s="62"/>
      <c r="AK448" s="62"/>
      <c r="AL448" s="62"/>
      <c r="AM448" s="62"/>
      <c r="AN448" s="62"/>
      <c r="AO448" s="62"/>
      <c r="AP448" s="62"/>
      <c r="AQ448" s="62"/>
      <c r="AR448" s="62"/>
      <c r="AS448" s="62"/>
      <c r="AT448" s="62"/>
      <c r="AU448" s="62"/>
      <c r="AV448" s="62"/>
      <c r="AW448" s="62"/>
      <c r="AX448" s="62"/>
      <c r="AY448" s="62"/>
      <c r="AZ448" s="62"/>
      <c r="BA448" s="62"/>
      <c r="BB448" s="62"/>
      <c r="BC448" s="62"/>
      <c r="BD448" s="62"/>
      <c r="BE448" s="62"/>
      <c r="BF448" s="62"/>
      <c r="BG448" s="62"/>
      <c r="BH448" s="62"/>
      <c r="BI448" s="62"/>
      <c r="BJ448" s="62"/>
      <c r="BK448" s="62"/>
      <c r="BL448" s="62"/>
      <c r="BM448" s="62"/>
      <c r="BN448" s="62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62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62"/>
      <c r="AF449" s="62"/>
      <c r="AG449" s="62"/>
      <c r="AH449" s="62"/>
      <c r="AI449" s="62"/>
      <c r="AJ449" s="62"/>
      <c r="AK449" s="62"/>
      <c r="AL449" s="62"/>
      <c r="AM449" s="62"/>
      <c r="AN449" s="62"/>
      <c r="AO449" s="62"/>
      <c r="AP449" s="62"/>
      <c r="AQ449" s="62"/>
      <c r="AR449" s="62"/>
      <c r="AS449" s="62"/>
      <c r="AT449" s="62"/>
      <c r="AU449" s="62"/>
      <c r="AV449" s="62"/>
      <c r="AW449" s="62"/>
      <c r="AX449" s="62"/>
      <c r="AY449" s="62"/>
      <c r="AZ449" s="62"/>
      <c r="BA449" s="62"/>
      <c r="BB449" s="62"/>
      <c r="BC449" s="62"/>
      <c r="BD449" s="62"/>
      <c r="BE449" s="62"/>
      <c r="BF449" s="62"/>
      <c r="BG449" s="62"/>
      <c r="BH449" s="62"/>
      <c r="BI449" s="62"/>
      <c r="BJ449" s="62"/>
      <c r="BK449" s="62"/>
      <c r="BL449" s="62"/>
      <c r="BM449" s="62"/>
      <c r="BN449" s="62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62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62"/>
      <c r="AF450" s="62"/>
      <c r="AG450" s="62"/>
      <c r="AH450" s="62"/>
      <c r="AI450" s="62"/>
      <c r="AJ450" s="62"/>
      <c r="AK450" s="62"/>
      <c r="AL450" s="62"/>
      <c r="AM450" s="62"/>
      <c r="AN450" s="62"/>
      <c r="AO450" s="62"/>
      <c r="AP450" s="62"/>
      <c r="AQ450" s="62"/>
      <c r="AR450" s="62"/>
      <c r="AS450" s="62"/>
      <c r="AT450" s="62"/>
      <c r="AU450" s="62"/>
      <c r="AV450" s="62"/>
      <c r="AW450" s="62"/>
      <c r="AX450" s="62"/>
      <c r="AY450" s="62"/>
      <c r="AZ450" s="62"/>
      <c r="BA450" s="62"/>
      <c r="BB450" s="62"/>
      <c r="BC450" s="62"/>
      <c r="BD450" s="62"/>
      <c r="BE450" s="62"/>
      <c r="BF450" s="62"/>
      <c r="BG450" s="62"/>
      <c r="BH450" s="62"/>
      <c r="BI450" s="62"/>
      <c r="BJ450" s="62"/>
      <c r="BK450" s="62"/>
      <c r="BL450" s="62"/>
      <c r="BM450" s="62"/>
      <c r="BN450" s="62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62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62"/>
      <c r="AF451" s="62"/>
      <c r="AG451" s="62"/>
      <c r="AH451" s="62"/>
      <c r="AI451" s="62"/>
      <c r="AJ451" s="62"/>
      <c r="AK451" s="62"/>
      <c r="AL451" s="62"/>
      <c r="AM451" s="62"/>
      <c r="AN451" s="62"/>
      <c r="AO451" s="62"/>
      <c r="AP451" s="62"/>
      <c r="AQ451" s="62"/>
      <c r="AR451" s="62"/>
      <c r="AS451" s="62"/>
      <c r="AT451" s="62"/>
      <c r="AU451" s="62"/>
      <c r="AV451" s="62"/>
      <c r="AW451" s="62"/>
      <c r="AX451" s="62"/>
      <c r="AY451" s="62"/>
      <c r="AZ451" s="62"/>
      <c r="BA451" s="62"/>
      <c r="BB451" s="62"/>
      <c r="BC451" s="62"/>
      <c r="BD451" s="62"/>
      <c r="BE451" s="62"/>
      <c r="BF451" s="62"/>
      <c r="BG451" s="62"/>
      <c r="BH451" s="62"/>
      <c r="BI451" s="62"/>
      <c r="BJ451" s="62"/>
      <c r="BK451" s="62"/>
      <c r="BL451" s="62"/>
      <c r="BM451" s="62"/>
      <c r="BN451" s="62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62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62"/>
      <c r="AF452" s="62"/>
      <c r="AG452" s="62"/>
      <c r="AH452" s="62"/>
      <c r="AI452" s="62"/>
      <c r="AJ452" s="62"/>
      <c r="AK452" s="62"/>
      <c r="AL452" s="62"/>
      <c r="AM452" s="62"/>
      <c r="AN452" s="62"/>
      <c r="AO452" s="62"/>
      <c r="AP452" s="62"/>
      <c r="AQ452" s="62"/>
      <c r="AR452" s="62"/>
      <c r="AS452" s="62"/>
      <c r="AT452" s="62"/>
      <c r="AU452" s="62"/>
      <c r="AV452" s="62"/>
      <c r="AW452" s="62"/>
      <c r="AX452" s="62"/>
      <c r="AY452" s="62"/>
      <c r="AZ452" s="62"/>
      <c r="BA452" s="62"/>
      <c r="BB452" s="62"/>
      <c r="BC452" s="62"/>
      <c r="BD452" s="62"/>
      <c r="BE452" s="62"/>
      <c r="BF452" s="62"/>
      <c r="BG452" s="62"/>
      <c r="BH452" s="62"/>
      <c r="BI452" s="62"/>
      <c r="BJ452" s="62"/>
      <c r="BK452" s="62"/>
      <c r="BL452" s="62"/>
      <c r="BM452" s="62"/>
      <c r="BN452" s="62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62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62"/>
      <c r="AF453" s="62"/>
      <c r="AG453" s="62"/>
      <c r="AH453" s="62"/>
      <c r="AI453" s="62"/>
      <c r="AJ453" s="62"/>
      <c r="AK453" s="62"/>
      <c r="AL453" s="62"/>
      <c r="AM453" s="62"/>
      <c r="AN453" s="62"/>
      <c r="AO453" s="62"/>
      <c r="AP453" s="62"/>
      <c r="AQ453" s="62"/>
      <c r="AR453" s="62"/>
      <c r="AS453" s="62"/>
      <c r="AT453" s="62"/>
      <c r="AU453" s="62"/>
      <c r="AV453" s="62"/>
      <c r="AW453" s="62"/>
      <c r="AX453" s="62"/>
      <c r="AY453" s="62"/>
      <c r="AZ453" s="62"/>
      <c r="BA453" s="62"/>
      <c r="BB453" s="62"/>
      <c r="BC453" s="62"/>
      <c r="BD453" s="62"/>
      <c r="BE453" s="62"/>
      <c r="BF453" s="62"/>
      <c r="BG453" s="62"/>
      <c r="BH453" s="62"/>
      <c r="BI453" s="62"/>
      <c r="BJ453" s="62"/>
      <c r="BK453" s="62"/>
      <c r="BL453" s="62"/>
      <c r="BM453" s="62"/>
      <c r="BN453" s="62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62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62"/>
      <c r="AF454" s="62"/>
      <c r="AG454" s="62"/>
      <c r="AH454" s="62"/>
      <c r="AI454" s="62"/>
      <c r="AJ454" s="62"/>
      <c r="AK454" s="62"/>
      <c r="AL454" s="62"/>
      <c r="AM454" s="62"/>
      <c r="AN454" s="62"/>
      <c r="AO454" s="62"/>
      <c r="AP454" s="62"/>
      <c r="AQ454" s="62"/>
      <c r="AR454" s="62"/>
      <c r="AS454" s="62"/>
      <c r="AT454" s="62"/>
      <c r="AU454" s="62"/>
      <c r="AV454" s="62"/>
      <c r="AW454" s="62"/>
      <c r="AX454" s="62"/>
      <c r="AY454" s="62"/>
      <c r="AZ454" s="62"/>
      <c r="BA454" s="62"/>
      <c r="BB454" s="62"/>
      <c r="BC454" s="62"/>
      <c r="BD454" s="62"/>
      <c r="BE454" s="62"/>
      <c r="BF454" s="62"/>
      <c r="BG454" s="62"/>
      <c r="BH454" s="62"/>
      <c r="BI454" s="62"/>
      <c r="BJ454" s="62"/>
      <c r="BK454" s="62"/>
      <c r="BL454" s="62"/>
      <c r="BM454" s="62"/>
      <c r="BN454" s="62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62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62"/>
      <c r="AF455" s="62"/>
      <c r="AG455" s="62"/>
      <c r="AH455" s="62"/>
      <c r="AI455" s="62"/>
      <c r="AJ455" s="62"/>
      <c r="AK455" s="62"/>
      <c r="AL455" s="62"/>
      <c r="AM455" s="62"/>
      <c r="AN455" s="62"/>
      <c r="AO455" s="62"/>
      <c r="AP455" s="62"/>
      <c r="AQ455" s="62"/>
      <c r="AR455" s="62"/>
      <c r="AS455" s="62"/>
      <c r="AT455" s="62"/>
      <c r="AU455" s="62"/>
      <c r="AV455" s="62"/>
      <c r="AW455" s="62"/>
      <c r="AX455" s="62"/>
      <c r="AY455" s="62"/>
      <c r="AZ455" s="62"/>
      <c r="BA455" s="62"/>
      <c r="BB455" s="62"/>
      <c r="BC455" s="62"/>
      <c r="BD455" s="62"/>
      <c r="BE455" s="62"/>
      <c r="BF455" s="62"/>
      <c r="BG455" s="62"/>
      <c r="BH455" s="62"/>
      <c r="BI455" s="62"/>
      <c r="BJ455" s="62"/>
      <c r="BK455" s="62"/>
      <c r="BL455" s="62"/>
      <c r="BM455" s="62"/>
      <c r="BN455" s="62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62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62"/>
      <c r="AF456" s="62"/>
      <c r="AG456" s="62"/>
      <c r="AH456" s="62"/>
      <c r="AI456" s="62"/>
      <c r="AJ456" s="62"/>
      <c r="AK456" s="62"/>
      <c r="AL456" s="62"/>
      <c r="AM456" s="62"/>
      <c r="AN456" s="62"/>
      <c r="AO456" s="62"/>
      <c r="AP456" s="62"/>
      <c r="AQ456" s="62"/>
      <c r="AR456" s="62"/>
      <c r="AS456" s="62"/>
      <c r="AT456" s="62"/>
      <c r="AU456" s="62"/>
      <c r="AV456" s="62"/>
      <c r="AW456" s="62"/>
      <c r="AX456" s="62"/>
      <c r="AY456" s="62"/>
      <c r="AZ456" s="62"/>
      <c r="BA456" s="62"/>
      <c r="BB456" s="62"/>
      <c r="BC456" s="62"/>
      <c r="BD456" s="62"/>
      <c r="BE456" s="62"/>
      <c r="BF456" s="62"/>
      <c r="BG456" s="62"/>
      <c r="BH456" s="62"/>
      <c r="BI456" s="62"/>
      <c r="BJ456" s="62"/>
      <c r="BK456" s="62"/>
      <c r="BL456" s="62"/>
      <c r="BM456" s="62"/>
      <c r="BN456" s="62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62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62"/>
      <c r="AF457" s="62"/>
      <c r="AG457" s="62"/>
      <c r="AH457" s="62"/>
      <c r="AI457" s="62"/>
      <c r="AJ457" s="62"/>
      <c r="AK457" s="62"/>
      <c r="AL457" s="62"/>
      <c r="AM457" s="62"/>
      <c r="AN457" s="62"/>
      <c r="AO457" s="62"/>
      <c r="AP457" s="62"/>
      <c r="AQ457" s="62"/>
      <c r="AR457" s="62"/>
      <c r="AS457" s="62"/>
      <c r="AT457" s="62"/>
      <c r="AU457" s="62"/>
      <c r="AV457" s="62"/>
      <c r="AW457" s="62"/>
      <c r="AX457" s="62"/>
      <c r="AY457" s="62"/>
      <c r="AZ457" s="62"/>
      <c r="BA457" s="62"/>
      <c r="BB457" s="62"/>
      <c r="BC457" s="62"/>
      <c r="BD457" s="62"/>
      <c r="BE457" s="62"/>
      <c r="BF457" s="62"/>
      <c r="BG457" s="62"/>
      <c r="BH457" s="62"/>
      <c r="BI457" s="62"/>
      <c r="BJ457" s="62"/>
      <c r="BK457" s="62"/>
      <c r="BL457" s="62"/>
      <c r="BM457" s="62"/>
      <c r="BN457" s="62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62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62"/>
      <c r="AF458" s="62"/>
      <c r="AG458" s="62"/>
      <c r="AH458" s="62"/>
      <c r="AI458" s="62"/>
      <c r="AJ458" s="62"/>
      <c r="AK458" s="62"/>
      <c r="AL458" s="62"/>
      <c r="AM458" s="62"/>
      <c r="AN458" s="62"/>
      <c r="AO458" s="62"/>
      <c r="AP458" s="62"/>
      <c r="AQ458" s="62"/>
      <c r="AR458" s="62"/>
      <c r="AS458" s="62"/>
      <c r="AT458" s="62"/>
      <c r="AU458" s="62"/>
      <c r="AV458" s="62"/>
      <c r="AW458" s="62"/>
      <c r="AX458" s="62"/>
      <c r="AY458" s="62"/>
      <c r="AZ458" s="62"/>
      <c r="BA458" s="62"/>
      <c r="BB458" s="62"/>
      <c r="BC458" s="62"/>
      <c r="BD458" s="62"/>
      <c r="BE458" s="62"/>
      <c r="BF458" s="62"/>
      <c r="BG458" s="62"/>
      <c r="BH458" s="62"/>
      <c r="BI458" s="62"/>
      <c r="BJ458" s="62"/>
      <c r="BK458" s="62"/>
      <c r="BL458" s="62"/>
      <c r="BM458" s="62"/>
      <c r="BN458" s="62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62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62"/>
      <c r="AF459" s="62"/>
      <c r="AG459" s="62"/>
      <c r="AH459" s="62"/>
      <c r="AI459" s="62"/>
      <c r="AJ459" s="62"/>
      <c r="AK459" s="62"/>
      <c r="AL459" s="62"/>
      <c r="AM459" s="62"/>
      <c r="AN459" s="62"/>
      <c r="AO459" s="62"/>
      <c r="AP459" s="62"/>
      <c r="AQ459" s="62"/>
      <c r="AR459" s="62"/>
      <c r="AS459" s="62"/>
      <c r="AT459" s="62"/>
      <c r="AU459" s="62"/>
      <c r="AV459" s="62"/>
      <c r="AW459" s="62"/>
      <c r="AX459" s="62"/>
      <c r="AY459" s="62"/>
      <c r="AZ459" s="62"/>
      <c r="BA459" s="62"/>
      <c r="BB459" s="62"/>
      <c r="BC459" s="62"/>
      <c r="BD459" s="62"/>
      <c r="BE459" s="62"/>
      <c r="BF459" s="62"/>
      <c r="BG459" s="62"/>
      <c r="BH459" s="62"/>
      <c r="BI459" s="62"/>
      <c r="BJ459" s="62"/>
      <c r="BK459" s="62"/>
      <c r="BL459" s="62"/>
      <c r="BM459" s="62"/>
      <c r="BN459" s="62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62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62"/>
      <c r="AF460" s="62"/>
      <c r="AG460" s="62"/>
      <c r="AH460" s="62"/>
      <c r="AI460" s="62"/>
      <c r="AJ460" s="62"/>
      <c r="AK460" s="62"/>
      <c r="AL460" s="62"/>
      <c r="AM460" s="62"/>
      <c r="AN460" s="62"/>
      <c r="AO460" s="62"/>
      <c r="AP460" s="62"/>
      <c r="AQ460" s="62"/>
      <c r="AR460" s="62"/>
      <c r="AS460" s="62"/>
      <c r="AT460" s="62"/>
      <c r="AU460" s="62"/>
      <c r="AV460" s="62"/>
      <c r="AW460" s="62"/>
      <c r="AX460" s="62"/>
      <c r="AY460" s="62"/>
      <c r="AZ460" s="62"/>
      <c r="BA460" s="62"/>
      <c r="BB460" s="62"/>
      <c r="BC460" s="62"/>
      <c r="BD460" s="62"/>
      <c r="BE460" s="62"/>
      <c r="BF460" s="62"/>
      <c r="BG460" s="62"/>
      <c r="BH460" s="62"/>
      <c r="BI460" s="62"/>
      <c r="BJ460" s="62"/>
      <c r="BK460" s="62"/>
      <c r="BL460" s="62"/>
      <c r="BM460" s="62"/>
      <c r="BN460" s="62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62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62"/>
      <c r="AF461" s="62"/>
      <c r="AG461" s="62"/>
      <c r="AH461" s="62"/>
      <c r="AI461" s="62"/>
      <c r="AJ461" s="62"/>
      <c r="AK461" s="62"/>
      <c r="AL461" s="62"/>
      <c r="AM461" s="62"/>
      <c r="AN461" s="62"/>
      <c r="AO461" s="62"/>
      <c r="AP461" s="62"/>
      <c r="AQ461" s="62"/>
      <c r="AR461" s="62"/>
      <c r="AS461" s="62"/>
      <c r="AT461" s="62"/>
      <c r="AU461" s="62"/>
      <c r="AV461" s="62"/>
      <c r="AW461" s="62"/>
      <c r="AX461" s="62"/>
      <c r="AY461" s="62"/>
      <c r="AZ461" s="62"/>
      <c r="BA461" s="62"/>
      <c r="BB461" s="62"/>
      <c r="BC461" s="62"/>
      <c r="BD461" s="62"/>
      <c r="BE461" s="62"/>
      <c r="BF461" s="62"/>
      <c r="BG461" s="62"/>
      <c r="BH461" s="62"/>
      <c r="BI461" s="62"/>
      <c r="BJ461" s="62"/>
      <c r="BK461" s="62"/>
      <c r="BL461" s="62"/>
      <c r="BM461" s="62"/>
      <c r="BN461" s="62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62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/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2"/>
      <c r="BJ462" s="62"/>
      <c r="BK462" s="62"/>
      <c r="BL462" s="62"/>
      <c r="BM462" s="62"/>
      <c r="BN462" s="62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62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2"/>
      <c r="BJ463" s="62"/>
      <c r="BK463" s="62"/>
      <c r="BL463" s="62"/>
      <c r="BM463" s="62"/>
      <c r="BN463" s="62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62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62"/>
      <c r="AF464" s="62"/>
      <c r="AG464" s="62"/>
      <c r="AH464" s="62"/>
      <c r="AI464" s="62"/>
      <c r="AJ464" s="62"/>
      <c r="AK464" s="62"/>
      <c r="AL464" s="62"/>
      <c r="AM464" s="62"/>
      <c r="AN464" s="62"/>
      <c r="AO464" s="62"/>
      <c r="AP464" s="62"/>
      <c r="AQ464" s="62"/>
      <c r="AR464" s="62"/>
      <c r="AS464" s="62"/>
      <c r="AT464" s="62"/>
      <c r="AU464" s="62"/>
      <c r="AV464" s="62"/>
      <c r="AW464" s="62"/>
      <c r="AX464" s="62"/>
      <c r="AY464" s="62"/>
      <c r="AZ464" s="62"/>
      <c r="BA464" s="62"/>
      <c r="BB464" s="62"/>
      <c r="BC464" s="62"/>
      <c r="BD464" s="62"/>
      <c r="BE464" s="62"/>
      <c r="BF464" s="62"/>
      <c r="BG464" s="62"/>
      <c r="BH464" s="62"/>
      <c r="BI464" s="62"/>
      <c r="BJ464" s="62"/>
      <c r="BK464" s="62"/>
      <c r="BL464" s="62"/>
      <c r="BM464" s="62"/>
      <c r="BN464" s="62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62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62"/>
      <c r="AF465" s="62"/>
      <c r="AG465" s="62"/>
      <c r="AH465" s="62"/>
      <c r="AI465" s="62"/>
      <c r="AJ465" s="62"/>
      <c r="AK465" s="62"/>
      <c r="AL465" s="62"/>
      <c r="AM465" s="62"/>
      <c r="AN465" s="62"/>
      <c r="AO465" s="62"/>
      <c r="AP465" s="62"/>
      <c r="AQ465" s="62"/>
      <c r="AR465" s="62"/>
      <c r="AS465" s="62"/>
      <c r="AT465" s="62"/>
      <c r="AU465" s="62"/>
      <c r="AV465" s="62"/>
      <c r="AW465" s="62"/>
      <c r="AX465" s="62"/>
      <c r="AY465" s="62"/>
      <c r="AZ465" s="62"/>
      <c r="BA465" s="62"/>
      <c r="BB465" s="62"/>
      <c r="BC465" s="62"/>
      <c r="BD465" s="62"/>
      <c r="BE465" s="62"/>
      <c r="BF465" s="62"/>
      <c r="BG465" s="62"/>
      <c r="BH465" s="62"/>
      <c r="BI465" s="62"/>
      <c r="BJ465" s="62"/>
      <c r="BK465" s="62"/>
      <c r="BL465" s="62"/>
      <c r="BM465" s="62"/>
      <c r="BN465" s="62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62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62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62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62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62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62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62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62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62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62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62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62"/>
      <c r="AF476" s="62"/>
      <c r="AG476" s="62"/>
      <c r="AH476" s="62"/>
      <c r="AI476" s="62"/>
      <c r="AJ476" s="62"/>
      <c r="AK476" s="62"/>
      <c r="AL476" s="62"/>
      <c r="AM476" s="62"/>
      <c r="AN476" s="62"/>
      <c r="AO476" s="62"/>
      <c r="AP476" s="62"/>
      <c r="AQ476" s="62"/>
      <c r="AR476" s="62"/>
      <c r="AS476" s="62"/>
      <c r="AT476" s="62"/>
      <c r="AU476" s="62"/>
      <c r="AV476" s="62"/>
      <c r="AW476" s="62"/>
      <c r="AX476" s="62"/>
      <c r="AY476" s="62"/>
      <c r="AZ476" s="62"/>
      <c r="BA476" s="62"/>
      <c r="BB476" s="62"/>
      <c r="BC476" s="62"/>
      <c r="BD476" s="62"/>
      <c r="BE476" s="62"/>
      <c r="BF476" s="62"/>
      <c r="BG476" s="62"/>
      <c r="BH476" s="62"/>
      <c r="BI476" s="62"/>
      <c r="BJ476" s="62"/>
      <c r="BK476" s="62"/>
      <c r="BL476" s="62"/>
      <c r="BM476" s="62"/>
      <c r="BN476" s="62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62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62"/>
      <c r="AF477" s="62"/>
      <c r="AG477" s="62"/>
      <c r="AH477" s="62"/>
      <c r="AI477" s="62"/>
      <c r="AJ477" s="62"/>
      <c r="AK477" s="62"/>
      <c r="AL477" s="62"/>
      <c r="AM477" s="62"/>
      <c r="AN477" s="62"/>
      <c r="AO477" s="62"/>
      <c r="AP477" s="62"/>
      <c r="AQ477" s="62"/>
      <c r="AR477" s="62"/>
      <c r="AS477" s="62"/>
      <c r="AT477" s="62"/>
      <c r="AU477" s="62"/>
      <c r="AV477" s="62"/>
      <c r="AW477" s="62"/>
      <c r="AX477" s="62"/>
      <c r="AY477" s="62"/>
      <c r="AZ477" s="62"/>
      <c r="BA477" s="62"/>
      <c r="BB477" s="62"/>
      <c r="BC477" s="62"/>
      <c r="BD477" s="62"/>
      <c r="BE477" s="62"/>
      <c r="BF477" s="62"/>
      <c r="BG477" s="62"/>
      <c r="BH477" s="62"/>
      <c r="BI477" s="62"/>
      <c r="BJ477" s="62"/>
      <c r="BK477" s="62"/>
      <c r="BL477" s="62"/>
      <c r="BM477" s="62"/>
      <c r="BN477" s="62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62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62"/>
      <c r="AF478" s="62"/>
      <c r="AG478" s="62"/>
      <c r="AH478" s="62"/>
      <c r="AI478" s="62"/>
      <c r="AJ478" s="62"/>
      <c r="AK478" s="62"/>
      <c r="AL478" s="62"/>
      <c r="AM478" s="62"/>
      <c r="AN478" s="62"/>
      <c r="AO478" s="62"/>
      <c r="AP478" s="62"/>
      <c r="AQ478" s="62"/>
      <c r="AR478" s="62"/>
      <c r="AS478" s="62"/>
      <c r="AT478" s="62"/>
      <c r="AU478" s="62"/>
      <c r="AV478" s="62"/>
      <c r="AW478" s="62"/>
      <c r="AX478" s="62"/>
      <c r="AY478" s="62"/>
      <c r="AZ478" s="62"/>
      <c r="BA478" s="62"/>
      <c r="BB478" s="62"/>
      <c r="BC478" s="62"/>
      <c r="BD478" s="62"/>
      <c r="BE478" s="62"/>
      <c r="BF478" s="62"/>
      <c r="BG478" s="62"/>
      <c r="BH478" s="62"/>
      <c r="BI478" s="62"/>
      <c r="BJ478" s="62"/>
      <c r="BK478" s="62"/>
      <c r="BL478" s="62"/>
      <c r="BM478" s="62"/>
      <c r="BN478" s="62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62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62"/>
      <c r="AF479" s="62"/>
      <c r="AG479" s="62"/>
      <c r="AH479" s="62"/>
      <c r="AI479" s="62"/>
      <c r="AJ479" s="62"/>
      <c r="AK479" s="62"/>
      <c r="AL479" s="62"/>
      <c r="AM479" s="62"/>
      <c r="AN479" s="62"/>
      <c r="AO479" s="62"/>
      <c r="AP479" s="62"/>
      <c r="AQ479" s="62"/>
      <c r="AR479" s="62"/>
      <c r="AS479" s="62"/>
      <c r="AT479" s="62"/>
      <c r="AU479" s="62"/>
      <c r="AV479" s="62"/>
      <c r="AW479" s="62"/>
      <c r="AX479" s="62"/>
      <c r="AY479" s="62"/>
      <c r="AZ479" s="62"/>
      <c r="BA479" s="62"/>
      <c r="BB479" s="62"/>
      <c r="BC479" s="62"/>
      <c r="BD479" s="62"/>
      <c r="BE479" s="62"/>
      <c r="BF479" s="62"/>
      <c r="BG479" s="62"/>
      <c r="BH479" s="62"/>
      <c r="BI479" s="62"/>
      <c r="BJ479" s="62"/>
      <c r="BK479" s="62"/>
      <c r="BL479" s="62"/>
      <c r="BM479" s="62"/>
      <c r="BN479" s="62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62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62"/>
      <c r="AF480" s="62"/>
      <c r="AG480" s="62"/>
      <c r="AH480" s="62"/>
      <c r="AI480" s="62"/>
      <c r="AJ480" s="62"/>
      <c r="AK480" s="62"/>
      <c r="AL480" s="62"/>
      <c r="AM480" s="62"/>
      <c r="AN480" s="62"/>
      <c r="AO480" s="62"/>
      <c r="AP480" s="62"/>
      <c r="AQ480" s="62"/>
      <c r="AR480" s="62"/>
      <c r="AS480" s="62"/>
      <c r="AT480" s="62"/>
      <c r="AU480" s="62"/>
      <c r="AV480" s="62"/>
      <c r="AW480" s="62"/>
      <c r="AX480" s="62"/>
      <c r="AY480" s="62"/>
      <c r="AZ480" s="62"/>
      <c r="BA480" s="62"/>
      <c r="BB480" s="62"/>
      <c r="BC480" s="62"/>
      <c r="BD480" s="62"/>
      <c r="BE480" s="62"/>
      <c r="BF480" s="62"/>
      <c r="BG480" s="62"/>
      <c r="BH480" s="62"/>
      <c r="BI480" s="62"/>
      <c r="BJ480" s="62"/>
      <c r="BK480" s="62"/>
      <c r="BL480" s="62"/>
      <c r="BM480" s="62"/>
      <c r="BN480" s="62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62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62"/>
      <c r="AF481" s="62"/>
      <c r="AG481" s="62"/>
      <c r="AH481" s="62"/>
      <c r="AI481" s="62"/>
      <c r="AJ481" s="62"/>
      <c r="AK481" s="62"/>
      <c r="AL481" s="62"/>
      <c r="AM481" s="62"/>
      <c r="AN481" s="62"/>
      <c r="AO481" s="62"/>
      <c r="AP481" s="62"/>
      <c r="AQ481" s="62"/>
      <c r="AR481" s="62"/>
      <c r="AS481" s="62"/>
      <c r="AT481" s="62"/>
      <c r="AU481" s="62"/>
      <c r="AV481" s="62"/>
      <c r="AW481" s="62"/>
      <c r="AX481" s="62"/>
      <c r="AY481" s="62"/>
      <c r="AZ481" s="62"/>
      <c r="BA481" s="62"/>
      <c r="BB481" s="62"/>
      <c r="BC481" s="62"/>
      <c r="BD481" s="62"/>
      <c r="BE481" s="62"/>
      <c r="BF481" s="62"/>
      <c r="BG481" s="62"/>
      <c r="BH481" s="62"/>
      <c r="BI481" s="62"/>
      <c r="BJ481" s="62"/>
      <c r="BK481" s="62"/>
      <c r="BL481" s="62"/>
      <c r="BM481" s="62"/>
      <c r="BN481" s="62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62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62"/>
      <c r="AF482" s="62"/>
      <c r="AG482" s="62"/>
      <c r="AH482" s="62"/>
      <c r="AI482" s="62"/>
      <c r="AJ482" s="62"/>
      <c r="AK482" s="62"/>
      <c r="AL482" s="62"/>
      <c r="AM482" s="62"/>
      <c r="AN482" s="62"/>
      <c r="AO482" s="62"/>
      <c r="AP482" s="62"/>
      <c r="AQ482" s="62"/>
      <c r="AR482" s="62"/>
      <c r="AS482" s="62"/>
      <c r="AT482" s="62"/>
      <c r="AU482" s="62"/>
      <c r="AV482" s="62"/>
      <c r="AW482" s="62"/>
      <c r="AX482" s="62"/>
      <c r="AY482" s="62"/>
      <c r="AZ482" s="62"/>
      <c r="BA482" s="62"/>
      <c r="BB482" s="62"/>
      <c r="BC482" s="62"/>
      <c r="BD482" s="62"/>
      <c r="BE482" s="62"/>
      <c r="BF482" s="62"/>
      <c r="BG482" s="62"/>
      <c r="BH482" s="62"/>
      <c r="BI482" s="62"/>
      <c r="BJ482" s="62"/>
      <c r="BK482" s="62"/>
      <c r="BL482" s="62"/>
      <c r="BM482" s="62"/>
      <c r="BN482" s="62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62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62"/>
      <c r="AF483" s="62"/>
      <c r="AG483" s="62"/>
      <c r="AH483" s="62"/>
      <c r="AI483" s="62"/>
      <c r="AJ483" s="62"/>
      <c r="AK483" s="62"/>
      <c r="AL483" s="62"/>
      <c r="AM483" s="62"/>
      <c r="AN483" s="62"/>
      <c r="AO483" s="62"/>
      <c r="AP483" s="62"/>
      <c r="AQ483" s="62"/>
      <c r="AR483" s="62"/>
      <c r="AS483" s="62"/>
      <c r="AT483" s="62"/>
      <c r="AU483" s="62"/>
      <c r="AV483" s="62"/>
      <c r="AW483" s="62"/>
      <c r="AX483" s="62"/>
      <c r="AY483" s="62"/>
      <c r="AZ483" s="62"/>
      <c r="BA483" s="62"/>
      <c r="BB483" s="62"/>
      <c r="BC483" s="62"/>
      <c r="BD483" s="62"/>
      <c r="BE483" s="62"/>
      <c r="BF483" s="62"/>
      <c r="BG483" s="62"/>
      <c r="BH483" s="62"/>
      <c r="BI483" s="62"/>
      <c r="BJ483" s="62"/>
      <c r="BK483" s="62"/>
      <c r="BL483" s="62"/>
      <c r="BM483" s="62"/>
      <c r="BN483" s="62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62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62"/>
      <c r="AF484" s="62"/>
      <c r="AG484" s="62"/>
      <c r="AH484" s="62"/>
      <c r="AI484" s="62"/>
      <c r="AJ484" s="62"/>
      <c r="AK484" s="62"/>
      <c r="AL484" s="62"/>
      <c r="AM484" s="62"/>
      <c r="AN484" s="62"/>
      <c r="AO484" s="62"/>
      <c r="AP484" s="62"/>
      <c r="AQ484" s="62"/>
      <c r="AR484" s="62"/>
      <c r="AS484" s="62"/>
      <c r="AT484" s="62"/>
      <c r="AU484" s="62"/>
      <c r="AV484" s="62"/>
      <c r="AW484" s="62"/>
      <c r="AX484" s="62"/>
      <c r="AY484" s="62"/>
      <c r="AZ484" s="62"/>
      <c r="BA484" s="62"/>
      <c r="BB484" s="62"/>
      <c r="BC484" s="62"/>
      <c r="BD484" s="62"/>
      <c r="BE484" s="62"/>
      <c r="BF484" s="62"/>
      <c r="BG484" s="62"/>
      <c r="BH484" s="62"/>
      <c r="BI484" s="62"/>
      <c r="BJ484" s="62"/>
      <c r="BK484" s="62"/>
      <c r="BL484" s="62"/>
      <c r="BM484" s="62"/>
      <c r="BN484" s="62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62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62"/>
      <c r="AF485" s="62"/>
      <c r="AG485" s="62"/>
      <c r="AH485" s="62"/>
      <c r="AI485" s="62"/>
      <c r="AJ485" s="62"/>
      <c r="AK485" s="62"/>
      <c r="AL485" s="62"/>
      <c r="AM485" s="62"/>
      <c r="AN485" s="62"/>
      <c r="AO485" s="62"/>
      <c r="AP485" s="62"/>
      <c r="AQ485" s="62"/>
      <c r="AR485" s="62"/>
      <c r="AS485" s="62"/>
      <c r="AT485" s="62"/>
      <c r="AU485" s="62"/>
      <c r="AV485" s="62"/>
      <c r="AW485" s="62"/>
      <c r="AX485" s="62"/>
      <c r="AY485" s="62"/>
      <c r="AZ485" s="62"/>
      <c r="BA485" s="62"/>
      <c r="BB485" s="62"/>
      <c r="BC485" s="62"/>
      <c r="BD485" s="62"/>
      <c r="BE485" s="62"/>
      <c r="BF485" s="62"/>
      <c r="BG485" s="62"/>
      <c r="BH485" s="62"/>
      <c r="BI485" s="62"/>
      <c r="BJ485" s="62"/>
      <c r="BK485" s="62"/>
      <c r="BL485" s="62"/>
      <c r="BM485" s="62"/>
      <c r="BN485" s="62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62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62"/>
      <c r="AF486" s="62"/>
      <c r="AG486" s="62"/>
      <c r="AH486" s="62"/>
      <c r="AI486" s="62"/>
      <c r="AJ486" s="62"/>
      <c r="AK486" s="62"/>
      <c r="AL486" s="62"/>
      <c r="AM486" s="62"/>
      <c r="AN486" s="62"/>
      <c r="AO486" s="62"/>
      <c r="AP486" s="62"/>
      <c r="AQ486" s="62"/>
      <c r="AR486" s="62"/>
      <c r="AS486" s="62"/>
      <c r="AT486" s="62"/>
      <c r="AU486" s="62"/>
      <c r="AV486" s="62"/>
      <c r="AW486" s="62"/>
      <c r="AX486" s="62"/>
      <c r="AY486" s="62"/>
      <c r="AZ486" s="62"/>
      <c r="BA486" s="62"/>
      <c r="BB486" s="62"/>
      <c r="BC486" s="62"/>
      <c r="BD486" s="62"/>
      <c r="BE486" s="62"/>
      <c r="BF486" s="62"/>
      <c r="BG486" s="62"/>
      <c r="BH486" s="62"/>
      <c r="BI486" s="62"/>
      <c r="BJ486" s="62"/>
      <c r="BK486" s="62"/>
      <c r="BL486" s="62"/>
      <c r="BM486" s="62"/>
      <c r="BN486" s="62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62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62"/>
      <c r="AF487" s="62"/>
      <c r="AG487" s="62"/>
      <c r="AH487" s="62"/>
      <c r="AI487" s="62"/>
      <c r="AJ487" s="62"/>
      <c r="AK487" s="62"/>
      <c r="AL487" s="62"/>
      <c r="AM487" s="62"/>
      <c r="AN487" s="62"/>
      <c r="AO487" s="62"/>
      <c r="AP487" s="62"/>
      <c r="AQ487" s="62"/>
      <c r="AR487" s="62"/>
      <c r="AS487" s="62"/>
      <c r="AT487" s="62"/>
      <c r="AU487" s="62"/>
      <c r="AV487" s="62"/>
      <c r="AW487" s="62"/>
      <c r="AX487" s="62"/>
      <c r="AY487" s="62"/>
      <c r="AZ487" s="62"/>
      <c r="BA487" s="62"/>
      <c r="BB487" s="62"/>
      <c r="BC487" s="62"/>
      <c r="BD487" s="62"/>
      <c r="BE487" s="62"/>
      <c r="BF487" s="62"/>
      <c r="BG487" s="62"/>
      <c r="BH487" s="62"/>
      <c r="BI487" s="62"/>
      <c r="BJ487" s="62"/>
      <c r="BK487" s="62"/>
      <c r="BL487" s="62"/>
      <c r="BM487" s="62"/>
      <c r="BN487" s="62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62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62"/>
      <c r="AF488" s="62"/>
      <c r="AG488" s="62"/>
      <c r="AH488" s="62"/>
      <c r="AI488" s="62"/>
      <c r="AJ488" s="62"/>
      <c r="AK488" s="62"/>
      <c r="AL488" s="62"/>
      <c r="AM488" s="62"/>
      <c r="AN488" s="62"/>
      <c r="AO488" s="62"/>
      <c r="AP488" s="62"/>
      <c r="AQ488" s="62"/>
      <c r="AR488" s="62"/>
      <c r="AS488" s="62"/>
      <c r="AT488" s="62"/>
      <c r="AU488" s="62"/>
      <c r="AV488" s="62"/>
      <c r="AW488" s="62"/>
      <c r="AX488" s="62"/>
      <c r="AY488" s="62"/>
      <c r="AZ488" s="62"/>
      <c r="BA488" s="62"/>
      <c r="BB488" s="62"/>
      <c r="BC488" s="62"/>
      <c r="BD488" s="62"/>
      <c r="BE488" s="62"/>
      <c r="BF488" s="62"/>
      <c r="BG488" s="62"/>
      <c r="BH488" s="62"/>
      <c r="BI488" s="62"/>
      <c r="BJ488" s="62"/>
      <c r="BK488" s="62"/>
      <c r="BL488" s="62"/>
      <c r="BM488" s="62"/>
      <c r="BN488" s="62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62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62"/>
      <c r="AF489" s="62"/>
      <c r="AG489" s="62"/>
      <c r="AH489" s="62"/>
      <c r="AI489" s="62"/>
      <c r="AJ489" s="62"/>
      <c r="AK489" s="62"/>
      <c r="AL489" s="62"/>
      <c r="AM489" s="62"/>
      <c r="AN489" s="62"/>
      <c r="AO489" s="62"/>
      <c r="AP489" s="62"/>
      <c r="AQ489" s="62"/>
      <c r="AR489" s="62"/>
      <c r="AS489" s="62"/>
      <c r="AT489" s="62"/>
      <c r="AU489" s="62"/>
      <c r="AV489" s="62"/>
      <c r="AW489" s="62"/>
      <c r="AX489" s="62"/>
      <c r="AY489" s="62"/>
      <c r="AZ489" s="62"/>
      <c r="BA489" s="62"/>
      <c r="BB489" s="62"/>
      <c r="BC489" s="62"/>
      <c r="BD489" s="62"/>
      <c r="BE489" s="62"/>
      <c r="BF489" s="62"/>
      <c r="BG489" s="62"/>
      <c r="BH489" s="62"/>
      <c r="BI489" s="62"/>
      <c r="BJ489" s="62"/>
      <c r="BK489" s="62"/>
      <c r="BL489" s="62"/>
      <c r="BM489" s="62"/>
      <c r="BN489" s="62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62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62"/>
      <c r="AF490" s="62"/>
      <c r="AG490" s="62"/>
      <c r="AH490" s="62"/>
      <c r="AI490" s="62"/>
      <c r="AJ490" s="62"/>
      <c r="AK490" s="62"/>
      <c r="AL490" s="62"/>
      <c r="AM490" s="62"/>
      <c r="AN490" s="62"/>
      <c r="AO490" s="62"/>
      <c r="AP490" s="62"/>
      <c r="AQ490" s="62"/>
      <c r="AR490" s="62"/>
      <c r="AS490" s="62"/>
      <c r="AT490" s="62"/>
      <c r="AU490" s="62"/>
      <c r="AV490" s="62"/>
      <c r="AW490" s="62"/>
      <c r="AX490" s="62"/>
      <c r="AY490" s="62"/>
      <c r="AZ490" s="62"/>
      <c r="BA490" s="62"/>
      <c r="BB490" s="62"/>
      <c r="BC490" s="62"/>
      <c r="BD490" s="62"/>
      <c r="BE490" s="62"/>
      <c r="BF490" s="62"/>
      <c r="BG490" s="62"/>
      <c r="BH490" s="62"/>
      <c r="BI490" s="62"/>
      <c r="BJ490" s="62"/>
      <c r="BK490" s="62"/>
      <c r="BL490" s="62"/>
      <c r="BM490" s="62"/>
      <c r="BN490" s="62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62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62"/>
      <c r="AF491" s="62"/>
      <c r="AG491" s="62"/>
      <c r="AH491" s="62"/>
      <c r="AI491" s="62"/>
      <c r="AJ491" s="62"/>
      <c r="AK491" s="62"/>
      <c r="AL491" s="62"/>
      <c r="AM491" s="62"/>
      <c r="AN491" s="62"/>
      <c r="AO491" s="62"/>
      <c r="AP491" s="62"/>
      <c r="AQ491" s="62"/>
      <c r="AR491" s="62"/>
      <c r="AS491" s="62"/>
      <c r="AT491" s="62"/>
      <c r="AU491" s="62"/>
      <c r="AV491" s="62"/>
      <c r="AW491" s="62"/>
      <c r="AX491" s="62"/>
      <c r="AY491" s="62"/>
      <c r="AZ491" s="62"/>
      <c r="BA491" s="62"/>
      <c r="BB491" s="62"/>
      <c r="BC491" s="62"/>
      <c r="BD491" s="62"/>
      <c r="BE491" s="62"/>
      <c r="BF491" s="62"/>
      <c r="BG491" s="62"/>
      <c r="BH491" s="62"/>
      <c r="BI491" s="62"/>
      <c r="BJ491" s="62"/>
      <c r="BK491" s="62"/>
      <c r="BL491" s="62"/>
      <c r="BM491" s="62"/>
      <c r="BN491" s="62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62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62"/>
      <c r="AF492" s="62"/>
      <c r="AG492" s="62"/>
      <c r="AH492" s="62"/>
      <c r="AI492" s="62"/>
      <c r="AJ492" s="62"/>
      <c r="AK492" s="62"/>
      <c r="AL492" s="62"/>
      <c r="AM492" s="62"/>
      <c r="AN492" s="62"/>
      <c r="AO492" s="62"/>
      <c r="AP492" s="62"/>
      <c r="AQ492" s="62"/>
      <c r="AR492" s="62"/>
      <c r="AS492" s="62"/>
      <c r="AT492" s="62"/>
      <c r="AU492" s="62"/>
      <c r="AV492" s="62"/>
      <c r="AW492" s="62"/>
      <c r="AX492" s="62"/>
      <c r="AY492" s="62"/>
      <c r="AZ492" s="62"/>
      <c r="BA492" s="62"/>
      <c r="BB492" s="62"/>
      <c r="BC492" s="62"/>
      <c r="BD492" s="62"/>
      <c r="BE492" s="62"/>
      <c r="BF492" s="62"/>
      <c r="BG492" s="62"/>
      <c r="BH492" s="62"/>
      <c r="BI492" s="62"/>
      <c r="BJ492" s="62"/>
      <c r="BK492" s="62"/>
      <c r="BL492" s="62"/>
      <c r="BM492" s="62"/>
      <c r="BN492" s="62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62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62"/>
      <c r="AF493" s="62"/>
      <c r="AG493" s="62"/>
      <c r="AH493" s="62"/>
      <c r="AI493" s="62"/>
      <c r="AJ493" s="62"/>
      <c r="AK493" s="62"/>
      <c r="AL493" s="62"/>
      <c r="AM493" s="62"/>
      <c r="AN493" s="62"/>
      <c r="AO493" s="62"/>
      <c r="AP493" s="62"/>
      <c r="AQ493" s="62"/>
      <c r="AR493" s="62"/>
      <c r="AS493" s="62"/>
      <c r="AT493" s="62"/>
      <c r="AU493" s="62"/>
      <c r="AV493" s="62"/>
      <c r="AW493" s="62"/>
      <c r="AX493" s="62"/>
      <c r="AY493" s="62"/>
      <c r="AZ493" s="62"/>
      <c r="BA493" s="62"/>
      <c r="BB493" s="62"/>
      <c r="BC493" s="62"/>
      <c r="BD493" s="62"/>
      <c r="BE493" s="62"/>
      <c r="BF493" s="62"/>
      <c r="BG493" s="62"/>
      <c r="BH493" s="62"/>
      <c r="BI493" s="62"/>
      <c r="BJ493" s="62"/>
      <c r="BK493" s="62"/>
      <c r="BL493" s="62"/>
      <c r="BM493" s="62"/>
      <c r="BN493" s="62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62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62"/>
      <c r="AF494" s="62"/>
      <c r="AG494" s="62"/>
      <c r="AH494" s="62"/>
      <c r="AI494" s="62"/>
      <c r="AJ494" s="62"/>
      <c r="AK494" s="62"/>
      <c r="AL494" s="62"/>
      <c r="AM494" s="62"/>
      <c r="AN494" s="62"/>
      <c r="AO494" s="62"/>
      <c r="AP494" s="62"/>
      <c r="AQ494" s="62"/>
      <c r="AR494" s="62"/>
      <c r="AS494" s="62"/>
      <c r="AT494" s="62"/>
      <c r="AU494" s="62"/>
      <c r="AV494" s="62"/>
      <c r="AW494" s="62"/>
      <c r="AX494" s="62"/>
      <c r="AY494" s="62"/>
      <c r="AZ494" s="62"/>
      <c r="BA494" s="62"/>
      <c r="BB494" s="62"/>
      <c r="BC494" s="62"/>
      <c r="BD494" s="62"/>
      <c r="BE494" s="62"/>
      <c r="BF494" s="62"/>
      <c r="BG494" s="62"/>
      <c r="BH494" s="62"/>
      <c r="BI494" s="62"/>
      <c r="BJ494" s="62"/>
      <c r="BK494" s="62"/>
      <c r="BL494" s="62"/>
      <c r="BM494" s="62"/>
      <c r="BN494" s="62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62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62"/>
      <c r="AF495" s="62"/>
      <c r="AG495" s="62"/>
      <c r="AH495" s="62"/>
      <c r="AI495" s="62"/>
      <c r="AJ495" s="62"/>
      <c r="AK495" s="62"/>
      <c r="AL495" s="62"/>
      <c r="AM495" s="62"/>
      <c r="AN495" s="62"/>
      <c r="AO495" s="62"/>
      <c r="AP495" s="62"/>
      <c r="AQ495" s="62"/>
      <c r="AR495" s="62"/>
      <c r="AS495" s="62"/>
      <c r="AT495" s="62"/>
      <c r="AU495" s="62"/>
      <c r="AV495" s="62"/>
      <c r="AW495" s="62"/>
      <c r="AX495" s="62"/>
      <c r="AY495" s="62"/>
      <c r="AZ495" s="62"/>
      <c r="BA495" s="62"/>
      <c r="BB495" s="62"/>
      <c r="BC495" s="62"/>
      <c r="BD495" s="62"/>
      <c r="BE495" s="62"/>
      <c r="BF495" s="62"/>
      <c r="BG495" s="62"/>
      <c r="BH495" s="62"/>
      <c r="BI495" s="62"/>
      <c r="BJ495" s="62"/>
      <c r="BK495" s="62"/>
      <c r="BL495" s="62"/>
      <c r="BM495" s="62"/>
      <c r="BN495" s="62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62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62"/>
      <c r="AF496" s="62"/>
      <c r="AG496" s="62"/>
      <c r="AH496" s="62"/>
      <c r="AI496" s="62"/>
      <c r="AJ496" s="62"/>
      <c r="AK496" s="62"/>
      <c r="AL496" s="62"/>
      <c r="AM496" s="62"/>
      <c r="AN496" s="62"/>
      <c r="AO496" s="62"/>
      <c r="AP496" s="62"/>
      <c r="AQ496" s="62"/>
      <c r="AR496" s="62"/>
      <c r="AS496" s="62"/>
      <c r="AT496" s="62"/>
      <c r="AU496" s="62"/>
      <c r="AV496" s="62"/>
      <c r="AW496" s="62"/>
      <c r="AX496" s="62"/>
      <c r="AY496" s="62"/>
      <c r="AZ496" s="62"/>
      <c r="BA496" s="62"/>
      <c r="BB496" s="62"/>
      <c r="BC496" s="62"/>
      <c r="BD496" s="62"/>
      <c r="BE496" s="62"/>
      <c r="BF496" s="62"/>
      <c r="BG496" s="62"/>
      <c r="BH496" s="62"/>
      <c r="BI496" s="62"/>
      <c r="BJ496" s="62"/>
      <c r="BK496" s="62"/>
      <c r="BL496" s="62"/>
      <c r="BM496" s="62"/>
      <c r="BN496" s="62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62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62"/>
      <c r="AF497" s="62"/>
      <c r="AG497" s="62"/>
      <c r="AH497" s="62"/>
      <c r="AI497" s="62"/>
      <c r="AJ497" s="62"/>
      <c r="AK497" s="62"/>
      <c r="AL497" s="62"/>
      <c r="AM497" s="62"/>
      <c r="AN497" s="62"/>
      <c r="AO497" s="62"/>
      <c r="AP497" s="62"/>
      <c r="AQ497" s="62"/>
      <c r="AR497" s="62"/>
      <c r="AS497" s="62"/>
      <c r="AT497" s="62"/>
      <c r="AU497" s="62"/>
      <c r="AV497" s="62"/>
      <c r="AW497" s="62"/>
      <c r="AX497" s="62"/>
      <c r="AY497" s="62"/>
      <c r="AZ497" s="62"/>
      <c r="BA497" s="62"/>
      <c r="BB497" s="62"/>
      <c r="BC497" s="62"/>
      <c r="BD497" s="62"/>
      <c r="BE497" s="62"/>
      <c r="BF497" s="62"/>
      <c r="BG497" s="62"/>
      <c r="BH497" s="62"/>
      <c r="BI497" s="62"/>
      <c r="BJ497" s="62"/>
      <c r="BK497" s="62"/>
      <c r="BL497" s="62"/>
      <c r="BM497" s="62"/>
      <c r="BN497" s="62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62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62"/>
      <c r="AF498" s="62"/>
      <c r="AG498" s="62"/>
      <c r="AH498" s="62"/>
      <c r="AI498" s="62"/>
      <c r="AJ498" s="62"/>
      <c r="AK498" s="62"/>
      <c r="AL498" s="62"/>
      <c r="AM498" s="62"/>
      <c r="AN498" s="62"/>
      <c r="AO498" s="62"/>
      <c r="AP498" s="62"/>
      <c r="AQ498" s="62"/>
      <c r="AR498" s="62"/>
      <c r="AS498" s="62"/>
      <c r="AT498" s="62"/>
      <c r="AU498" s="62"/>
      <c r="AV498" s="62"/>
      <c r="AW498" s="62"/>
      <c r="AX498" s="62"/>
      <c r="AY498" s="62"/>
      <c r="AZ498" s="62"/>
      <c r="BA498" s="62"/>
      <c r="BB498" s="62"/>
      <c r="BC498" s="62"/>
      <c r="BD498" s="62"/>
      <c r="BE498" s="62"/>
      <c r="BF498" s="62"/>
      <c r="BG498" s="62"/>
      <c r="BH498" s="62"/>
      <c r="BI498" s="62"/>
      <c r="BJ498" s="62"/>
      <c r="BK498" s="62"/>
      <c r="BL498" s="62"/>
      <c r="BM498" s="62"/>
      <c r="BN498" s="62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62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62"/>
      <c r="AF499" s="62"/>
      <c r="AG499" s="62"/>
      <c r="AH499" s="62"/>
      <c r="AI499" s="62"/>
      <c r="AJ499" s="62"/>
      <c r="AK499" s="62"/>
      <c r="AL499" s="62"/>
      <c r="AM499" s="62"/>
      <c r="AN499" s="62"/>
      <c r="AO499" s="62"/>
      <c r="AP499" s="62"/>
      <c r="AQ499" s="62"/>
      <c r="AR499" s="62"/>
      <c r="AS499" s="62"/>
      <c r="AT499" s="62"/>
      <c r="AU499" s="62"/>
      <c r="AV499" s="62"/>
      <c r="AW499" s="62"/>
      <c r="AX499" s="62"/>
      <c r="AY499" s="62"/>
      <c r="AZ499" s="62"/>
      <c r="BA499" s="62"/>
      <c r="BB499" s="62"/>
      <c r="BC499" s="62"/>
      <c r="BD499" s="62"/>
      <c r="BE499" s="62"/>
      <c r="BF499" s="62"/>
      <c r="BG499" s="62"/>
      <c r="BH499" s="62"/>
      <c r="BI499" s="62"/>
      <c r="BJ499" s="62"/>
      <c r="BK499" s="62"/>
      <c r="BL499" s="62"/>
      <c r="BM499" s="62"/>
      <c r="BN499" s="62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62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/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2"/>
      <c r="BJ500" s="62"/>
      <c r="BK500" s="62"/>
      <c r="BL500" s="62"/>
      <c r="BM500" s="62"/>
      <c r="BN500" s="62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62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2"/>
      <c r="BJ501" s="62"/>
      <c r="BK501" s="62"/>
      <c r="BL501" s="62"/>
      <c r="BM501" s="62"/>
      <c r="BN501" s="62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62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62"/>
      <c r="AF502" s="62"/>
      <c r="AG502" s="62"/>
      <c r="AH502" s="62"/>
      <c r="AI502" s="62"/>
      <c r="AJ502" s="62"/>
      <c r="AK502" s="62"/>
      <c r="AL502" s="62"/>
      <c r="AM502" s="62"/>
      <c r="AN502" s="62"/>
      <c r="AO502" s="62"/>
      <c r="AP502" s="62"/>
      <c r="AQ502" s="62"/>
      <c r="AR502" s="62"/>
      <c r="AS502" s="62"/>
      <c r="AT502" s="62"/>
      <c r="AU502" s="62"/>
      <c r="AV502" s="62"/>
      <c r="AW502" s="62"/>
      <c r="AX502" s="62"/>
      <c r="AY502" s="62"/>
      <c r="AZ502" s="62"/>
      <c r="BA502" s="62"/>
      <c r="BB502" s="62"/>
      <c r="BC502" s="62"/>
      <c r="BD502" s="62"/>
      <c r="BE502" s="62"/>
      <c r="BF502" s="62"/>
      <c r="BG502" s="62"/>
      <c r="BH502" s="62"/>
      <c r="BI502" s="62"/>
      <c r="BJ502" s="62"/>
      <c r="BK502" s="62"/>
      <c r="BL502" s="62"/>
      <c r="BM502" s="62"/>
      <c r="BN502" s="62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62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62"/>
      <c r="AF503" s="62"/>
      <c r="AG503" s="62"/>
      <c r="AH503" s="62"/>
      <c r="AI503" s="62"/>
      <c r="AJ503" s="62"/>
      <c r="AK503" s="62"/>
      <c r="AL503" s="62"/>
      <c r="AM503" s="62"/>
      <c r="AN503" s="62"/>
      <c r="AO503" s="62"/>
      <c r="AP503" s="62"/>
      <c r="AQ503" s="62"/>
      <c r="AR503" s="62"/>
      <c r="AS503" s="62"/>
      <c r="AT503" s="62"/>
      <c r="AU503" s="62"/>
      <c r="AV503" s="62"/>
      <c r="AW503" s="62"/>
      <c r="AX503" s="62"/>
      <c r="AY503" s="62"/>
      <c r="AZ503" s="62"/>
      <c r="BA503" s="62"/>
      <c r="BB503" s="62"/>
      <c r="BC503" s="62"/>
      <c r="BD503" s="62"/>
      <c r="BE503" s="62"/>
      <c r="BF503" s="62"/>
      <c r="BG503" s="62"/>
      <c r="BH503" s="62"/>
      <c r="BI503" s="62"/>
      <c r="BJ503" s="62"/>
      <c r="BK503" s="62"/>
      <c r="BL503" s="62"/>
      <c r="BM503" s="62"/>
      <c r="BN503" s="62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62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62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62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62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62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62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62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62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62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62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62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62"/>
      <c r="AF514" s="62"/>
      <c r="AG514" s="62"/>
      <c r="AH514" s="62"/>
      <c r="AI514" s="62"/>
      <c r="AJ514" s="62"/>
      <c r="AK514" s="62"/>
      <c r="AL514" s="62"/>
      <c r="AM514" s="62"/>
      <c r="AN514" s="62"/>
      <c r="AO514" s="62"/>
      <c r="AP514" s="62"/>
      <c r="AQ514" s="62"/>
      <c r="AR514" s="62"/>
      <c r="AS514" s="62"/>
      <c r="AT514" s="62"/>
      <c r="AU514" s="62"/>
      <c r="AV514" s="62"/>
      <c r="AW514" s="62"/>
      <c r="AX514" s="62"/>
      <c r="AY514" s="62"/>
      <c r="AZ514" s="62"/>
      <c r="BA514" s="62"/>
      <c r="BB514" s="62"/>
      <c r="BC514" s="62"/>
      <c r="BD514" s="62"/>
      <c r="BE514" s="62"/>
      <c r="BF514" s="62"/>
      <c r="BG514" s="62"/>
      <c r="BH514" s="62"/>
      <c r="BI514" s="62"/>
      <c r="BJ514" s="62"/>
      <c r="BK514" s="62"/>
      <c r="BL514" s="62"/>
      <c r="BM514" s="62"/>
      <c r="BN514" s="62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62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62"/>
      <c r="AF515" s="62"/>
      <c r="AG515" s="62"/>
      <c r="AH515" s="62"/>
      <c r="AI515" s="62"/>
      <c r="AJ515" s="62"/>
      <c r="AK515" s="62"/>
      <c r="AL515" s="62"/>
      <c r="AM515" s="62"/>
      <c r="AN515" s="62"/>
      <c r="AO515" s="62"/>
      <c r="AP515" s="62"/>
      <c r="AQ515" s="62"/>
      <c r="AR515" s="62"/>
      <c r="AS515" s="62"/>
      <c r="AT515" s="62"/>
      <c r="AU515" s="62"/>
      <c r="AV515" s="62"/>
      <c r="AW515" s="62"/>
      <c r="AX515" s="62"/>
      <c r="AY515" s="62"/>
      <c r="AZ515" s="62"/>
      <c r="BA515" s="62"/>
      <c r="BB515" s="62"/>
      <c r="BC515" s="62"/>
      <c r="BD515" s="62"/>
      <c r="BE515" s="62"/>
      <c r="BF515" s="62"/>
      <c r="BG515" s="62"/>
      <c r="BH515" s="62"/>
      <c r="BI515" s="62"/>
      <c r="BJ515" s="62"/>
      <c r="BK515" s="62"/>
      <c r="BL515" s="62"/>
      <c r="BM515" s="62"/>
      <c r="BN515" s="62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62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62"/>
      <c r="AF516" s="62"/>
      <c r="AG516" s="62"/>
      <c r="AH516" s="62"/>
      <c r="AI516" s="62"/>
      <c r="AJ516" s="62"/>
      <c r="AK516" s="62"/>
      <c r="AL516" s="62"/>
      <c r="AM516" s="62"/>
      <c r="AN516" s="62"/>
      <c r="AO516" s="62"/>
      <c r="AP516" s="62"/>
      <c r="AQ516" s="62"/>
      <c r="AR516" s="62"/>
      <c r="AS516" s="62"/>
      <c r="AT516" s="62"/>
      <c r="AU516" s="62"/>
      <c r="AV516" s="62"/>
      <c r="AW516" s="62"/>
      <c r="AX516" s="62"/>
      <c r="AY516" s="62"/>
      <c r="AZ516" s="62"/>
      <c r="BA516" s="62"/>
      <c r="BB516" s="62"/>
      <c r="BC516" s="62"/>
      <c r="BD516" s="62"/>
      <c r="BE516" s="62"/>
      <c r="BF516" s="62"/>
      <c r="BG516" s="62"/>
      <c r="BH516" s="62"/>
      <c r="BI516" s="62"/>
      <c r="BJ516" s="62"/>
      <c r="BK516" s="62"/>
      <c r="BL516" s="62"/>
      <c r="BM516" s="62"/>
      <c r="BN516" s="62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62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62"/>
      <c r="AF517" s="62"/>
      <c r="AG517" s="62"/>
      <c r="AH517" s="62"/>
      <c r="AI517" s="62"/>
      <c r="AJ517" s="62"/>
      <c r="AK517" s="62"/>
      <c r="AL517" s="62"/>
      <c r="AM517" s="62"/>
      <c r="AN517" s="62"/>
      <c r="AO517" s="62"/>
      <c r="AP517" s="62"/>
      <c r="AQ517" s="62"/>
      <c r="AR517" s="62"/>
      <c r="AS517" s="62"/>
      <c r="AT517" s="62"/>
      <c r="AU517" s="62"/>
      <c r="AV517" s="62"/>
      <c r="AW517" s="62"/>
      <c r="AX517" s="62"/>
      <c r="AY517" s="62"/>
      <c r="AZ517" s="62"/>
      <c r="BA517" s="62"/>
      <c r="BB517" s="62"/>
      <c r="BC517" s="62"/>
      <c r="BD517" s="62"/>
      <c r="BE517" s="62"/>
      <c r="BF517" s="62"/>
      <c r="BG517" s="62"/>
      <c r="BH517" s="62"/>
      <c r="BI517" s="62"/>
      <c r="BJ517" s="62"/>
      <c r="BK517" s="62"/>
      <c r="BL517" s="62"/>
      <c r="BM517" s="62"/>
      <c r="BN517" s="62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62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62"/>
      <c r="AF518" s="62"/>
      <c r="AG518" s="62"/>
      <c r="AH518" s="62"/>
      <c r="AI518" s="62"/>
      <c r="AJ518" s="62"/>
      <c r="AK518" s="62"/>
      <c r="AL518" s="62"/>
      <c r="AM518" s="62"/>
      <c r="AN518" s="62"/>
      <c r="AO518" s="62"/>
      <c r="AP518" s="62"/>
      <c r="AQ518" s="62"/>
      <c r="AR518" s="62"/>
      <c r="AS518" s="62"/>
      <c r="AT518" s="62"/>
      <c r="AU518" s="62"/>
      <c r="AV518" s="62"/>
      <c r="AW518" s="62"/>
      <c r="AX518" s="62"/>
      <c r="AY518" s="62"/>
      <c r="AZ518" s="62"/>
      <c r="BA518" s="62"/>
      <c r="BB518" s="62"/>
      <c r="BC518" s="62"/>
      <c r="BD518" s="62"/>
      <c r="BE518" s="62"/>
      <c r="BF518" s="62"/>
      <c r="BG518" s="62"/>
      <c r="BH518" s="62"/>
      <c r="BI518" s="62"/>
      <c r="BJ518" s="62"/>
      <c r="BK518" s="62"/>
      <c r="BL518" s="62"/>
      <c r="BM518" s="62"/>
      <c r="BN518" s="62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62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62"/>
      <c r="AF519" s="62"/>
      <c r="AG519" s="62"/>
      <c r="AH519" s="62"/>
      <c r="AI519" s="62"/>
      <c r="AJ519" s="62"/>
      <c r="AK519" s="62"/>
      <c r="AL519" s="62"/>
      <c r="AM519" s="62"/>
      <c r="AN519" s="62"/>
      <c r="AO519" s="62"/>
      <c r="AP519" s="62"/>
      <c r="AQ519" s="62"/>
      <c r="AR519" s="62"/>
      <c r="AS519" s="62"/>
      <c r="AT519" s="62"/>
      <c r="AU519" s="62"/>
      <c r="AV519" s="62"/>
      <c r="AW519" s="62"/>
      <c r="AX519" s="62"/>
      <c r="AY519" s="62"/>
      <c r="AZ519" s="62"/>
      <c r="BA519" s="62"/>
      <c r="BB519" s="62"/>
      <c r="BC519" s="62"/>
      <c r="BD519" s="62"/>
      <c r="BE519" s="62"/>
      <c r="BF519" s="62"/>
      <c r="BG519" s="62"/>
      <c r="BH519" s="62"/>
      <c r="BI519" s="62"/>
      <c r="BJ519" s="62"/>
      <c r="BK519" s="62"/>
      <c r="BL519" s="62"/>
      <c r="BM519" s="62"/>
      <c r="BN519" s="62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62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62"/>
      <c r="AF520" s="62"/>
      <c r="AG520" s="62"/>
      <c r="AH520" s="62"/>
      <c r="AI520" s="62"/>
      <c r="AJ520" s="62"/>
      <c r="AK520" s="62"/>
      <c r="AL520" s="62"/>
      <c r="AM520" s="62"/>
      <c r="AN520" s="62"/>
      <c r="AO520" s="62"/>
      <c r="AP520" s="62"/>
      <c r="AQ520" s="62"/>
      <c r="AR520" s="62"/>
      <c r="AS520" s="62"/>
      <c r="AT520" s="62"/>
      <c r="AU520" s="62"/>
      <c r="AV520" s="62"/>
      <c r="AW520" s="62"/>
      <c r="AX520" s="62"/>
      <c r="AY520" s="62"/>
      <c r="AZ520" s="62"/>
      <c r="BA520" s="62"/>
      <c r="BB520" s="62"/>
      <c r="BC520" s="62"/>
      <c r="BD520" s="62"/>
      <c r="BE520" s="62"/>
      <c r="BF520" s="62"/>
      <c r="BG520" s="62"/>
      <c r="BH520" s="62"/>
      <c r="BI520" s="62"/>
      <c r="BJ520" s="62"/>
      <c r="BK520" s="62"/>
      <c r="BL520" s="62"/>
      <c r="BM520" s="62"/>
      <c r="BN520" s="62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62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62"/>
      <c r="AF521" s="62"/>
      <c r="AG521" s="62"/>
      <c r="AH521" s="62"/>
      <c r="AI521" s="62"/>
      <c r="AJ521" s="62"/>
      <c r="AK521" s="62"/>
      <c r="AL521" s="62"/>
      <c r="AM521" s="62"/>
      <c r="AN521" s="62"/>
      <c r="AO521" s="62"/>
      <c r="AP521" s="62"/>
      <c r="AQ521" s="62"/>
      <c r="AR521" s="62"/>
      <c r="AS521" s="62"/>
      <c r="AT521" s="62"/>
      <c r="AU521" s="62"/>
      <c r="AV521" s="62"/>
      <c r="AW521" s="62"/>
      <c r="AX521" s="62"/>
      <c r="AY521" s="62"/>
      <c r="AZ521" s="62"/>
      <c r="BA521" s="62"/>
      <c r="BB521" s="62"/>
      <c r="BC521" s="62"/>
      <c r="BD521" s="62"/>
      <c r="BE521" s="62"/>
      <c r="BF521" s="62"/>
      <c r="BG521" s="62"/>
      <c r="BH521" s="62"/>
      <c r="BI521" s="62"/>
      <c r="BJ521" s="62"/>
      <c r="BK521" s="62"/>
      <c r="BL521" s="62"/>
      <c r="BM521" s="62"/>
      <c r="BN521" s="62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62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62"/>
      <c r="AF522" s="62"/>
      <c r="AG522" s="62"/>
      <c r="AH522" s="62"/>
      <c r="AI522" s="62"/>
      <c r="AJ522" s="62"/>
      <c r="AK522" s="62"/>
      <c r="AL522" s="62"/>
      <c r="AM522" s="62"/>
      <c r="AN522" s="62"/>
      <c r="AO522" s="62"/>
      <c r="AP522" s="62"/>
      <c r="AQ522" s="62"/>
      <c r="AR522" s="62"/>
      <c r="AS522" s="62"/>
      <c r="AT522" s="62"/>
      <c r="AU522" s="62"/>
      <c r="AV522" s="62"/>
      <c r="AW522" s="62"/>
      <c r="AX522" s="62"/>
      <c r="AY522" s="62"/>
      <c r="AZ522" s="62"/>
      <c r="BA522" s="62"/>
      <c r="BB522" s="62"/>
      <c r="BC522" s="62"/>
      <c r="BD522" s="62"/>
      <c r="BE522" s="62"/>
      <c r="BF522" s="62"/>
      <c r="BG522" s="62"/>
      <c r="BH522" s="62"/>
      <c r="BI522" s="62"/>
      <c r="BJ522" s="62"/>
      <c r="BK522" s="62"/>
      <c r="BL522" s="62"/>
      <c r="BM522" s="62"/>
      <c r="BN522" s="62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62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62"/>
      <c r="AF523" s="62"/>
      <c r="AG523" s="62"/>
      <c r="AH523" s="62"/>
      <c r="AI523" s="62"/>
      <c r="AJ523" s="62"/>
      <c r="AK523" s="62"/>
      <c r="AL523" s="62"/>
      <c r="AM523" s="62"/>
      <c r="AN523" s="62"/>
      <c r="AO523" s="62"/>
      <c r="AP523" s="62"/>
      <c r="AQ523" s="62"/>
      <c r="AR523" s="62"/>
      <c r="AS523" s="62"/>
      <c r="AT523" s="62"/>
      <c r="AU523" s="62"/>
      <c r="AV523" s="62"/>
      <c r="AW523" s="62"/>
      <c r="AX523" s="62"/>
      <c r="AY523" s="62"/>
      <c r="AZ523" s="62"/>
      <c r="BA523" s="62"/>
      <c r="BB523" s="62"/>
      <c r="BC523" s="62"/>
      <c r="BD523" s="62"/>
      <c r="BE523" s="62"/>
      <c r="BF523" s="62"/>
      <c r="BG523" s="62"/>
      <c r="BH523" s="62"/>
      <c r="BI523" s="62"/>
      <c r="BJ523" s="62"/>
      <c r="BK523" s="62"/>
      <c r="BL523" s="62"/>
      <c r="BM523" s="62"/>
      <c r="BN523" s="62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62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62"/>
      <c r="AF524" s="62"/>
      <c r="AG524" s="62"/>
      <c r="AH524" s="62"/>
      <c r="AI524" s="62"/>
      <c r="AJ524" s="62"/>
      <c r="AK524" s="62"/>
      <c r="AL524" s="62"/>
      <c r="AM524" s="62"/>
      <c r="AN524" s="62"/>
      <c r="AO524" s="62"/>
      <c r="AP524" s="62"/>
      <c r="AQ524" s="62"/>
      <c r="AR524" s="62"/>
      <c r="AS524" s="62"/>
      <c r="AT524" s="62"/>
      <c r="AU524" s="62"/>
      <c r="AV524" s="62"/>
      <c r="AW524" s="62"/>
      <c r="AX524" s="62"/>
      <c r="AY524" s="62"/>
      <c r="AZ524" s="62"/>
      <c r="BA524" s="62"/>
      <c r="BB524" s="62"/>
      <c r="BC524" s="62"/>
      <c r="BD524" s="62"/>
      <c r="BE524" s="62"/>
      <c r="BF524" s="62"/>
      <c r="BG524" s="62"/>
      <c r="BH524" s="62"/>
      <c r="BI524" s="62"/>
      <c r="BJ524" s="62"/>
      <c r="BK524" s="62"/>
      <c r="BL524" s="62"/>
      <c r="BM524" s="62"/>
      <c r="BN524" s="62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62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62"/>
      <c r="AF525" s="62"/>
      <c r="AG525" s="62"/>
      <c r="AH525" s="62"/>
      <c r="AI525" s="62"/>
      <c r="AJ525" s="62"/>
      <c r="AK525" s="62"/>
      <c r="AL525" s="62"/>
      <c r="AM525" s="62"/>
      <c r="AN525" s="62"/>
      <c r="AO525" s="62"/>
      <c r="AP525" s="62"/>
      <c r="AQ525" s="62"/>
      <c r="AR525" s="62"/>
      <c r="AS525" s="62"/>
      <c r="AT525" s="62"/>
      <c r="AU525" s="62"/>
      <c r="AV525" s="62"/>
      <c r="AW525" s="62"/>
      <c r="AX525" s="62"/>
      <c r="AY525" s="62"/>
      <c r="AZ525" s="62"/>
      <c r="BA525" s="62"/>
      <c r="BB525" s="62"/>
      <c r="BC525" s="62"/>
      <c r="BD525" s="62"/>
      <c r="BE525" s="62"/>
      <c r="BF525" s="62"/>
      <c r="BG525" s="62"/>
      <c r="BH525" s="62"/>
      <c r="BI525" s="62"/>
      <c r="BJ525" s="62"/>
      <c r="BK525" s="62"/>
      <c r="BL525" s="62"/>
      <c r="BM525" s="62"/>
      <c r="BN525" s="62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62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62"/>
      <c r="AF526" s="62"/>
      <c r="AG526" s="62"/>
      <c r="AH526" s="62"/>
      <c r="AI526" s="62"/>
      <c r="AJ526" s="62"/>
      <c r="AK526" s="62"/>
      <c r="AL526" s="62"/>
      <c r="AM526" s="62"/>
      <c r="AN526" s="62"/>
      <c r="AO526" s="62"/>
      <c r="AP526" s="62"/>
      <c r="AQ526" s="62"/>
      <c r="AR526" s="62"/>
      <c r="AS526" s="62"/>
      <c r="AT526" s="62"/>
      <c r="AU526" s="62"/>
      <c r="AV526" s="62"/>
      <c r="AW526" s="62"/>
      <c r="AX526" s="62"/>
      <c r="AY526" s="62"/>
      <c r="AZ526" s="62"/>
      <c r="BA526" s="62"/>
      <c r="BB526" s="62"/>
      <c r="BC526" s="62"/>
      <c r="BD526" s="62"/>
      <c r="BE526" s="62"/>
      <c r="BF526" s="62"/>
      <c r="BG526" s="62"/>
      <c r="BH526" s="62"/>
      <c r="BI526" s="62"/>
      <c r="BJ526" s="62"/>
      <c r="BK526" s="62"/>
      <c r="BL526" s="62"/>
      <c r="BM526" s="62"/>
      <c r="BN526" s="62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62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62"/>
      <c r="AF527" s="62"/>
      <c r="AG527" s="62"/>
      <c r="AH527" s="62"/>
      <c r="AI527" s="62"/>
      <c r="AJ527" s="62"/>
      <c r="AK527" s="62"/>
      <c r="AL527" s="62"/>
      <c r="AM527" s="62"/>
      <c r="AN527" s="62"/>
      <c r="AO527" s="62"/>
      <c r="AP527" s="62"/>
      <c r="AQ527" s="62"/>
      <c r="AR527" s="62"/>
      <c r="AS527" s="62"/>
      <c r="AT527" s="62"/>
      <c r="AU527" s="62"/>
      <c r="AV527" s="62"/>
      <c r="AW527" s="62"/>
      <c r="AX527" s="62"/>
      <c r="AY527" s="62"/>
      <c r="AZ527" s="62"/>
      <c r="BA527" s="62"/>
      <c r="BB527" s="62"/>
      <c r="BC527" s="62"/>
      <c r="BD527" s="62"/>
      <c r="BE527" s="62"/>
      <c r="BF527" s="62"/>
      <c r="BG527" s="62"/>
      <c r="BH527" s="62"/>
      <c r="BI527" s="62"/>
      <c r="BJ527" s="62"/>
      <c r="BK527" s="62"/>
      <c r="BL527" s="62"/>
      <c r="BM527" s="62"/>
      <c r="BN527" s="62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62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62"/>
      <c r="AF528" s="62"/>
      <c r="AG528" s="62"/>
      <c r="AH528" s="62"/>
      <c r="AI528" s="62"/>
      <c r="AJ528" s="62"/>
      <c r="AK528" s="62"/>
      <c r="AL528" s="62"/>
      <c r="AM528" s="62"/>
      <c r="AN528" s="62"/>
      <c r="AO528" s="62"/>
      <c r="AP528" s="62"/>
      <c r="AQ528" s="62"/>
      <c r="AR528" s="62"/>
      <c r="AS528" s="62"/>
      <c r="AT528" s="62"/>
      <c r="AU528" s="62"/>
      <c r="AV528" s="62"/>
      <c r="AW528" s="62"/>
      <c r="AX528" s="62"/>
      <c r="AY528" s="62"/>
      <c r="AZ528" s="62"/>
      <c r="BA528" s="62"/>
      <c r="BB528" s="62"/>
      <c r="BC528" s="62"/>
      <c r="BD528" s="62"/>
      <c r="BE528" s="62"/>
      <c r="BF528" s="62"/>
      <c r="BG528" s="62"/>
      <c r="BH528" s="62"/>
      <c r="BI528" s="62"/>
      <c r="BJ528" s="62"/>
      <c r="BK528" s="62"/>
      <c r="BL528" s="62"/>
      <c r="BM528" s="62"/>
      <c r="BN528" s="62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62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62"/>
      <c r="AF529" s="62"/>
      <c r="AG529" s="62"/>
      <c r="AH529" s="62"/>
      <c r="AI529" s="62"/>
      <c r="AJ529" s="62"/>
      <c r="AK529" s="62"/>
      <c r="AL529" s="62"/>
      <c r="AM529" s="62"/>
      <c r="AN529" s="62"/>
      <c r="AO529" s="62"/>
      <c r="AP529" s="62"/>
      <c r="AQ529" s="62"/>
      <c r="AR529" s="62"/>
      <c r="AS529" s="62"/>
      <c r="AT529" s="62"/>
      <c r="AU529" s="62"/>
      <c r="AV529" s="62"/>
      <c r="AW529" s="62"/>
      <c r="AX529" s="62"/>
      <c r="AY529" s="62"/>
      <c r="AZ529" s="62"/>
      <c r="BA529" s="62"/>
      <c r="BB529" s="62"/>
      <c r="BC529" s="62"/>
      <c r="BD529" s="62"/>
      <c r="BE529" s="62"/>
      <c r="BF529" s="62"/>
      <c r="BG529" s="62"/>
      <c r="BH529" s="62"/>
      <c r="BI529" s="62"/>
      <c r="BJ529" s="62"/>
      <c r="BK529" s="62"/>
      <c r="BL529" s="62"/>
      <c r="BM529" s="62"/>
      <c r="BN529" s="62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62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62"/>
      <c r="AF530" s="62"/>
      <c r="AG530" s="62"/>
      <c r="AH530" s="62"/>
      <c r="AI530" s="62"/>
      <c r="AJ530" s="62"/>
      <c r="AK530" s="62"/>
      <c r="AL530" s="62"/>
      <c r="AM530" s="62"/>
      <c r="AN530" s="62"/>
      <c r="AO530" s="62"/>
      <c r="AP530" s="62"/>
      <c r="AQ530" s="62"/>
      <c r="AR530" s="62"/>
      <c r="AS530" s="62"/>
      <c r="AT530" s="62"/>
      <c r="AU530" s="62"/>
      <c r="AV530" s="62"/>
      <c r="AW530" s="62"/>
      <c r="AX530" s="62"/>
      <c r="AY530" s="62"/>
      <c r="AZ530" s="62"/>
      <c r="BA530" s="62"/>
      <c r="BB530" s="62"/>
      <c r="BC530" s="62"/>
      <c r="BD530" s="62"/>
      <c r="BE530" s="62"/>
      <c r="BF530" s="62"/>
      <c r="BG530" s="62"/>
      <c r="BH530" s="62"/>
      <c r="BI530" s="62"/>
      <c r="BJ530" s="62"/>
      <c r="BK530" s="62"/>
      <c r="BL530" s="62"/>
      <c r="BM530" s="62"/>
      <c r="BN530" s="62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62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62"/>
      <c r="AF531" s="62"/>
      <c r="AG531" s="62"/>
      <c r="AH531" s="62"/>
      <c r="AI531" s="62"/>
      <c r="AJ531" s="62"/>
      <c r="AK531" s="62"/>
      <c r="AL531" s="62"/>
      <c r="AM531" s="62"/>
      <c r="AN531" s="62"/>
      <c r="AO531" s="62"/>
      <c r="AP531" s="62"/>
      <c r="AQ531" s="62"/>
      <c r="AR531" s="62"/>
      <c r="AS531" s="62"/>
      <c r="AT531" s="62"/>
      <c r="AU531" s="62"/>
      <c r="AV531" s="62"/>
      <c r="AW531" s="62"/>
      <c r="AX531" s="62"/>
      <c r="AY531" s="62"/>
      <c r="AZ531" s="62"/>
      <c r="BA531" s="62"/>
      <c r="BB531" s="62"/>
      <c r="BC531" s="62"/>
      <c r="BD531" s="62"/>
      <c r="BE531" s="62"/>
      <c r="BF531" s="62"/>
      <c r="BG531" s="62"/>
      <c r="BH531" s="62"/>
      <c r="BI531" s="62"/>
      <c r="BJ531" s="62"/>
      <c r="BK531" s="62"/>
      <c r="BL531" s="62"/>
      <c r="BM531" s="62"/>
      <c r="BN531" s="62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62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62"/>
      <c r="AF532" s="62"/>
      <c r="AG532" s="62"/>
      <c r="AH532" s="62"/>
      <c r="AI532" s="62"/>
      <c r="AJ532" s="62"/>
      <c r="AK532" s="62"/>
      <c r="AL532" s="62"/>
      <c r="AM532" s="62"/>
      <c r="AN532" s="62"/>
      <c r="AO532" s="62"/>
      <c r="AP532" s="62"/>
      <c r="AQ532" s="62"/>
      <c r="AR532" s="62"/>
      <c r="AS532" s="62"/>
      <c r="AT532" s="62"/>
      <c r="AU532" s="62"/>
      <c r="AV532" s="62"/>
      <c r="AW532" s="62"/>
      <c r="AX532" s="62"/>
      <c r="AY532" s="62"/>
      <c r="AZ532" s="62"/>
      <c r="BA532" s="62"/>
      <c r="BB532" s="62"/>
      <c r="BC532" s="62"/>
      <c r="BD532" s="62"/>
      <c r="BE532" s="62"/>
      <c r="BF532" s="62"/>
      <c r="BG532" s="62"/>
      <c r="BH532" s="62"/>
      <c r="BI532" s="62"/>
      <c r="BJ532" s="62"/>
      <c r="BK532" s="62"/>
      <c r="BL532" s="62"/>
      <c r="BM532" s="62"/>
      <c r="BN532" s="62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62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62"/>
      <c r="AF533" s="62"/>
      <c r="AG533" s="62"/>
      <c r="AH533" s="62"/>
      <c r="AI533" s="62"/>
      <c r="AJ533" s="62"/>
      <c r="AK533" s="62"/>
      <c r="AL533" s="62"/>
      <c r="AM533" s="62"/>
      <c r="AN533" s="62"/>
      <c r="AO533" s="62"/>
      <c r="AP533" s="62"/>
      <c r="AQ533" s="62"/>
      <c r="AR533" s="62"/>
      <c r="AS533" s="62"/>
      <c r="AT533" s="62"/>
      <c r="AU533" s="62"/>
      <c r="AV533" s="62"/>
      <c r="AW533" s="62"/>
      <c r="AX533" s="62"/>
      <c r="AY533" s="62"/>
      <c r="AZ533" s="62"/>
      <c r="BA533" s="62"/>
      <c r="BB533" s="62"/>
      <c r="BC533" s="62"/>
      <c r="BD533" s="62"/>
      <c r="BE533" s="62"/>
      <c r="BF533" s="62"/>
      <c r="BG533" s="62"/>
      <c r="BH533" s="62"/>
      <c r="BI533" s="62"/>
      <c r="BJ533" s="62"/>
      <c r="BK533" s="62"/>
      <c r="BL533" s="62"/>
      <c r="BM533" s="62"/>
      <c r="BN533" s="62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62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62"/>
      <c r="AF534" s="62"/>
      <c r="AG534" s="62"/>
      <c r="AH534" s="62"/>
      <c r="AI534" s="62"/>
      <c r="AJ534" s="62"/>
      <c r="AK534" s="62"/>
      <c r="AL534" s="62"/>
      <c r="AM534" s="62"/>
      <c r="AN534" s="62"/>
      <c r="AO534" s="62"/>
      <c r="AP534" s="62"/>
      <c r="AQ534" s="62"/>
      <c r="AR534" s="62"/>
      <c r="AS534" s="62"/>
      <c r="AT534" s="62"/>
      <c r="AU534" s="62"/>
      <c r="AV534" s="62"/>
      <c r="AW534" s="62"/>
      <c r="AX534" s="62"/>
      <c r="AY534" s="62"/>
      <c r="AZ534" s="62"/>
      <c r="BA534" s="62"/>
      <c r="BB534" s="62"/>
      <c r="BC534" s="62"/>
      <c r="BD534" s="62"/>
      <c r="BE534" s="62"/>
      <c r="BF534" s="62"/>
      <c r="BG534" s="62"/>
      <c r="BH534" s="62"/>
      <c r="BI534" s="62"/>
      <c r="BJ534" s="62"/>
      <c r="BK534" s="62"/>
      <c r="BL534" s="62"/>
      <c r="BM534" s="62"/>
      <c r="BN534" s="62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62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62"/>
      <c r="AF535" s="62"/>
      <c r="AG535" s="62"/>
      <c r="AH535" s="62"/>
      <c r="AI535" s="62"/>
      <c r="AJ535" s="62"/>
      <c r="AK535" s="62"/>
      <c r="AL535" s="62"/>
      <c r="AM535" s="62"/>
      <c r="AN535" s="62"/>
      <c r="AO535" s="62"/>
      <c r="AP535" s="62"/>
      <c r="AQ535" s="62"/>
      <c r="AR535" s="62"/>
      <c r="AS535" s="62"/>
      <c r="AT535" s="62"/>
      <c r="AU535" s="62"/>
      <c r="AV535" s="62"/>
      <c r="AW535" s="62"/>
      <c r="AX535" s="62"/>
      <c r="AY535" s="62"/>
      <c r="AZ535" s="62"/>
      <c r="BA535" s="62"/>
      <c r="BB535" s="62"/>
      <c r="BC535" s="62"/>
      <c r="BD535" s="62"/>
      <c r="BE535" s="62"/>
      <c r="BF535" s="62"/>
      <c r="BG535" s="62"/>
      <c r="BH535" s="62"/>
      <c r="BI535" s="62"/>
      <c r="BJ535" s="62"/>
      <c r="BK535" s="62"/>
      <c r="BL535" s="62"/>
      <c r="BM535" s="62"/>
      <c r="BN535" s="62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62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62"/>
      <c r="AF536" s="62"/>
      <c r="AG536" s="62"/>
      <c r="AH536" s="62"/>
      <c r="AI536" s="62"/>
      <c r="AJ536" s="62"/>
      <c r="AK536" s="62"/>
      <c r="AL536" s="62"/>
      <c r="AM536" s="62"/>
      <c r="AN536" s="62"/>
      <c r="AO536" s="62"/>
      <c r="AP536" s="62"/>
      <c r="AQ536" s="62"/>
      <c r="AR536" s="62"/>
      <c r="AS536" s="62"/>
      <c r="AT536" s="62"/>
      <c r="AU536" s="62"/>
      <c r="AV536" s="62"/>
      <c r="AW536" s="62"/>
      <c r="AX536" s="62"/>
      <c r="AY536" s="62"/>
      <c r="AZ536" s="62"/>
      <c r="BA536" s="62"/>
      <c r="BB536" s="62"/>
      <c r="BC536" s="62"/>
      <c r="BD536" s="62"/>
      <c r="BE536" s="62"/>
      <c r="BF536" s="62"/>
      <c r="BG536" s="62"/>
      <c r="BH536" s="62"/>
      <c r="BI536" s="62"/>
      <c r="BJ536" s="62"/>
      <c r="BK536" s="62"/>
      <c r="BL536" s="62"/>
      <c r="BM536" s="62"/>
      <c r="BN536" s="62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62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62"/>
      <c r="AF537" s="62"/>
      <c r="AG537" s="62"/>
      <c r="AH537" s="62"/>
      <c r="AI537" s="62"/>
      <c r="AJ537" s="62"/>
      <c r="AK537" s="62"/>
      <c r="AL537" s="62"/>
      <c r="AM537" s="62"/>
      <c r="AN537" s="62"/>
      <c r="AO537" s="62"/>
      <c r="AP537" s="62"/>
      <c r="AQ537" s="62"/>
      <c r="AR537" s="62"/>
      <c r="AS537" s="62"/>
      <c r="AT537" s="62"/>
      <c r="AU537" s="62"/>
      <c r="AV537" s="62"/>
      <c r="AW537" s="62"/>
      <c r="AX537" s="62"/>
      <c r="AY537" s="62"/>
      <c r="AZ537" s="62"/>
      <c r="BA537" s="62"/>
      <c r="BB537" s="62"/>
      <c r="BC537" s="62"/>
      <c r="BD537" s="62"/>
      <c r="BE537" s="62"/>
      <c r="BF537" s="62"/>
      <c r="BG537" s="62"/>
      <c r="BH537" s="62"/>
      <c r="BI537" s="62"/>
      <c r="BJ537" s="62"/>
      <c r="BK537" s="62"/>
      <c r="BL537" s="62"/>
      <c r="BM537" s="62"/>
      <c r="BN537" s="62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62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/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2"/>
      <c r="BJ538" s="62"/>
      <c r="BK538" s="62"/>
      <c r="BL538" s="62"/>
      <c r="BM538" s="62"/>
      <c r="BN538" s="62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62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2"/>
      <c r="BJ539" s="62"/>
      <c r="BK539" s="62"/>
      <c r="BL539" s="62"/>
      <c r="BM539" s="62"/>
      <c r="BN539" s="62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62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62"/>
      <c r="AF540" s="62"/>
      <c r="AG540" s="62"/>
      <c r="AH540" s="62"/>
      <c r="AI540" s="62"/>
      <c r="AJ540" s="62"/>
      <c r="AK540" s="62"/>
      <c r="AL540" s="62"/>
      <c r="AM540" s="62"/>
      <c r="AN540" s="62"/>
      <c r="AO540" s="62"/>
      <c r="AP540" s="62"/>
      <c r="AQ540" s="62"/>
      <c r="AR540" s="62"/>
      <c r="AS540" s="62"/>
      <c r="AT540" s="62"/>
      <c r="AU540" s="62"/>
      <c r="AV540" s="62"/>
      <c r="AW540" s="62"/>
      <c r="AX540" s="62"/>
      <c r="AY540" s="62"/>
      <c r="AZ540" s="62"/>
      <c r="BA540" s="62"/>
      <c r="BB540" s="62"/>
      <c r="BC540" s="62"/>
      <c r="BD540" s="62"/>
      <c r="BE540" s="62"/>
      <c r="BF540" s="62"/>
      <c r="BG540" s="62"/>
      <c r="BH540" s="62"/>
      <c r="BI540" s="62"/>
      <c r="BJ540" s="62"/>
      <c r="BK540" s="62"/>
      <c r="BL540" s="62"/>
      <c r="BM540" s="62"/>
      <c r="BN540" s="62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62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62"/>
      <c r="AF541" s="62"/>
      <c r="AG541" s="62"/>
      <c r="AH541" s="62"/>
      <c r="AI541" s="62"/>
      <c r="AJ541" s="62"/>
      <c r="AK541" s="62"/>
      <c r="AL541" s="62"/>
      <c r="AM541" s="62"/>
      <c r="AN541" s="62"/>
      <c r="AO541" s="62"/>
      <c r="AP541" s="62"/>
      <c r="AQ541" s="62"/>
      <c r="AR541" s="62"/>
      <c r="AS541" s="62"/>
      <c r="AT541" s="62"/>
      <c r="AU541" s="62"/>
      <c r="AV541" s="62"/>
      <c r="AW541" s="62"/>
      <c r="AX541" s="62"/>
      <c r="AY541" s="62"/>
      <c r="AZ541" s="62"/>
      <c r="BA541" s="62"/>
      <c r="BB541" s="62"/>
      <c r="BC541" s="62"/>
      <c r="BD541" s="62"/>
      <c r="BE541" s="62"/>
      <c r="BF541" s="62"/>
      <c r="BG541" s="62"/>
      <c r="BH541" s="62"/>
      <c r="BI541" s="62"/>
      <c r="BJ541" s="62"/>
      <c r="BK541" s="62"/>
      <c r="BL541" s="62"/>
      <c r="BM541" s="62"/>
      <c r="BN541" s="62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62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62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62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62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62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62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62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62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62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62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62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62"/>
      <c r="AF552" s="62"/>
      <c r="AG552" s="62"/>
      <c r="AH552" s="62"/>
      <c r="AI552" s="62"/>
      <c r="AJ552" s="62"/>
      <c r="AK552" s="62"/>
      <c r="AL552" s="62"/>
      <c r="AM552" s="62"/>
      <c r="AN552" s="62"/>
      <c r="AO552" s="62"/>
      <c r="AP552" s="62"/>
      <c r="AQ552" s="62"/>
      <c r="AR552" s="62"/>
      <c r="AS552" s="62"/>
      <c r="AT552" s="62"/>
      <c r="AU552" s="62"/>
      <c r="AV552" s="62"/>
      <c r="AW552" s="62"/>
      <c r="AX552" s="62"/>
      <c r="AY552" s="62"/>
      <c r="AZ552" s="62"/>
      <c r="BA552" s="62"/>
      <c r="BB552" s="62"/>
      <c r="BC552" s="62"/>
      <c r="BD552" s="62"/>
      <c r="BE552" s="62"/>
      <c r="BF552" s="62"/>
      <c r="BG552" s="62"/>
      <c r="BH552" s="62"/>
      <c r="BI552" s="62"/>
      <c r="BJ552" s="62"/>
      <c r="BK552" s="62"/>
      <c r="BL552" s="62"/>
      <c r="BM552" s="62"/>
      <c r="BN552" s="62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62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62"/>
      <c r="AF553" s="62"/>
      <c r="AG553" s="62"/>
      <c r="AH553" s="62"/>
      <c r="AI553" s="62"/>
      <c r="AJ553" s="62"/>
      <c r="AK553" s="62"/>
      <c r="AL553" s="62"/>
      <c r="AM553" s="62"/>
      <c r="AN553" s="62"/>
      <c r="AO553" s="62"/>
      <c r="AP553" s="62"/>
      <c r="AQ553" s="62"/>
      <c r="AR553" s="62"/>
      <c r="AS553" s="62"/>
      <c r="AT553" s="62"/>
      <c r="AU553" s="62"/>
      <c r="AV553" s="62"/>
      <c r="AW553" s="62"/>
      <c r="AX553" s="62"/>
      <c r="AY553" s="62"/>
      <c r="AZ553" s="62"/>
      <c r="BA553" s="62"/>
      <c r="BB553" s="62"/>
      <c r="BC553" s="62"/>
      <c r="BD553" s="62"/>
      <c r="BE553" s="62"/>
      <c r="BF553" s="62"/>
      <c r="BG553" s="62"/>
      <c r="BH553" s="62"/>
      <c r="BI553" s="62"/>
      <c r="BJ553" s="62"/>
      <c r="BK553" s="62"/>
      <c r="BL553" s="62"/>
      <c r="BM553" s="62"/>
      <c r="BN553" s="62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62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62"/>
      <c r="AF554" s="62"/>
      <c r="AG554" s="62"/>
      <c r="AH554" s="62"/>
      <c r="AI554" s="62"/>
      <c r="AJ554" s="62"/>
      <c r="AK554" s="62"/>
      <c r="AL554" s="62"/>
      <c r="AM554" s="62"/>
      <c r="AN554" s="62"/>
      <c r="AO554" s="62"/>
      <c r="AP554" s="62"/>
      <c r="AQ554" s="62"/>
      <c r="AR554" s="62"/>
      <c r="AS554" s="62"/>
      <c r="AT554" s="62"/>
      <c r="AU554" s="62"/>
      <c r="AV554" s="62"/>
      <c r="AW554" s="62"/>
      <c r="AX554" s="62"/>
      <c r="AY554" s="62"/>
      <c r="AZ554" s="62"/>
      <c r="BA554" s="62"/>
      <c r="BB554" s="62"/>
      <c r="BC554" s="62"/>
      <c r="BD554" s="62"/>
      <c r="BE554" s="62"/>
      <c r="BF554" s="62"/>
      <c r="BG554" s="62"/>
      <c r="BH554" s="62"/>
      <c r="BI554" s="62"/>
      <c r="BJ554" s="62"/>
      <c r="BK554" s="62"/>
      <c r="BL554" s="62"/>
      <c r="BM554" s="62"/>
      <c r="BN554" s="62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62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62"/>
      <c r="AF555" s="62"/>
      <c r="AG555" s="62"/>
      <c r="AH555" s="62"/>
      <c r="AI555" s="62"/>
      <c r="AJ555" s="62"/>
      <c r="AK555" s="62"/>
      <c r="AL555" s="62"/>
      <c r="AM555" s="62"/>
      <c r="AN555" s="62"/>
      <c r="AO555" s="62"/>
      <c r="AP555" s="62"/>
      <c r="AQ555" s="62"/>
      <c r="AR555" s="62"/>
      <c r="AS555" s="62"/>
      <c r="AT555" s="62"/>
      <c r="AU555" s="62"/>
      <c r="AV555" s="62"/>
      <c r="AW555" s="62"/>
      <c r="AX555" s="62"/>
      <c r="AY555" s="62"/>
      <c r="AZ555" s="62"/>
      <c r="BA555" s="62"/>
      <c r="BB555" s="62"/>
      <c r="BC555" s="62"/>
      <c r="BD555" s="62"/>
      <c r="BE555" s="62"/>
      <c r="BF555" s="62"/>
      <c r="BG555" s="62"/>
      <c r="BH555" s="62"/>
      <c r="BI555" s="62"/>
      <c r="BJ555" s="62"/>
      <c r="BK555" s="62"/>
      <c r="BL555" s="62"/>
      <c r="BM555" s="62"/>
      <c r="BN555" s="62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62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62"/>
      <c r="AF556" s="62"/>
      <c r="AG556" s="62"/>
      <c r="AH556" s="62"/>
      <c r="AI556" s="62"/>
      <c r="AJ556" s="62"/>
      <c r="AK556" s="62"/>
      <c r="AL556" s="62"/>
      <c r="AM556" s="62"/>
      <c r="AN556" s="62"/>
      <c r="AO556" s="62"/>
      <c r="AP556" s="62"/>
      <c r="AQ556" s="62"/>
      <c r="AR556" s="62"/>
      <c r="AS556" s="62"/>
      <c r="AT556" s="62"/>
      <c r="AU556" s="62"/>
      <c r="AV556" s="62"/>
      <c r="AW556" s="62"/>
      <c r="AX556" s="62"/>
      <c r="AY556" s="62"/>
      <c r="AZ556" s="62"/>
      <c r="BA556" s="62"/>
      <c r="BB556" s="62"/>
      <c r="BC556" s="62"/>
      <c r="BD556" s="62"/>
      <c r="BE556" s="62"/>
      <c r="BF556" s="62"/>
      <c r="BG556" s="62"/>
      <c r="BH556" s="62"/>
      <c r="BI556" s="62"/>
      <c r="BJ556" s="62"/>
      <c r="BK556" s="62"/>
      <c r="BL556" s="62"/>
      <c r="BM556" s="62"/>
      <c r="BN556" s="62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62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62"/>
      <c r="AF557" s="62"/>
      <c r="AG557" s="62"/>
      <c r="AH557" s="62"/>
      <c r="AI557" s="62"/>
      <c r="AJ557" s="62"/>
      <c r="AK557" s="62"/>
      <c r="AL557" s="62"/>
      <c r="AM557" s="62"/>
      <c r="AN557" s="62"/>
      <c r="AO557" s="62"/>
      <c r="AP557" s="62"/>
      <c r="AQ557" s="62"/>
      <c r="AR557" s="62"/>
      <c r="AS557" s="62"/>
      <c r="AT557" s="62"/>
      <c r="AU557" s="62"/>
      <c r="AV557" s="62"/>
      <c r="AW557" s="62"/>
      <c r="AX557" s="62"/>
      <c r="AY557" s="62"/>
      <c r="AZ557" s="62"/>
      <c r="BA557" s="62"/>
      <c r="BB557" s="62"/>
      <c r="BC557" s="62"/>
      <c r="BD557" s="62"/>
      <c r="BE557" s="62"/>
      <c r="BF557" s="62"/>
      <c r="BG557" s="62"/>
      <c r="BH557" s="62"/>
      <c r="BI557" s="62"/>
      <c r="BJ557" s="62"/>
      <c r="BK557" s="62"/>
      <c r="BL557" s="62"/>
      <c r="BM557" s="62"/>
      <c r="BN557" s="62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62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62"/>
      <c r="AF558" s="62"/>
      <c r="AG558" s="62"/>
      <c r="AH558" s="62"/>
      <c r="AI558" s="62"/>
      <c r="AJ558" s="62"/>
      <c r="AK558" s="62"/>
      <c r="AL558" s="62"/>
      <c r="AM558" s="62"/>
      <c r="AN558" s="62"/>
      <c r="AO558" s="62"/>
      <c r="AP558" s="62"/>
      <c r="AQ558" s="62"/>
      <c r="AR558" s="62"/>
      <c r="AS558" s="62"/>
      <c r="AT558" s="62"/>
      <c r="AU558" s="62"/>
      <c r="AV558" s="62"/>
      <c r="AW558" s="62"/>
      <c r="AX558" s="62"/>
      <c r="AY558" s="62"/>
      <c r="AZ558" s="62"/>
      <c r="BA558" s="62"/>
      <c r="BB558" s="62"/>
      <c r="BC558" s="62"/>
      <c r="BD558" s="62"/>
      <c r="BE558" s="62"/>
      <c r="BF558" s="62"/>
      <c r="BG558" s="62"/>
      <c r="BH558" s="62"/>
      <c r="BI558" s="62"/>
      <c r="BJ558" s="62"/>
      <c r="BK558" s="62"/>
      <c r="BL558" s="62"/>
      <c r="BM558" s="62"/>
      <c r="BN558" s="62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62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62"/>
      <c r="AF559" s="62"/>
      <c r="AG559" s="62"/>
      <c r="AH559" s="62"/>
      <c r="AI559" s="62"/>
      <c r="AJ559" s="62"/>
      <c r="AK559" s="62"/>
      <c r="AL559" s="62"/>
      <c r="AM559" s="62"/>
      <c r="AN559" s="62"/>
      <c r="AO559" s="62"/>
      <c r="AP559" s="62"/>
      <c r="AQ559" s="62"/>
      <c r="AR559" s="62"/>
      <c r="AS559" s="62"/>
      <c r="AT559" s="62"/>
      <c r="AU559" s="62"/>
      <c r="AV559" s="62"/>
      <c r="AW559" s="62"/>
      <c r="AX559" s="62"/>
      <c r="AY559" s="62"/>
      <c r="AZ559" s="62"/>
      <c r="BA559" s="62"/>
      <c r="BB559" s="62"/>
      <c r="BC559" s="62"/>
      <c r="BD559" s="62"/>
      <c r="BE559" s="62"/>
      <c r="BF559" s="62"/>
      <c r="BG559" s="62"/>
      <c r="BH559" s="62"/>
      <c r="BI559" s="62"/>
      <c r="BJ559" s="62"/>
      <c r="BK559" s="62"/>
      <c r="BL559" s="62"/>
      <c r="BM559" s="62"/>
      <c r="BN559" s="62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62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62"/>
      <c r="AF560" s="62"/>
      <c r="AG560" s="62"/>
      <c r="AH560" s="62"/>
      <c r="AI560" s="62"/>
      <c r="AJ560" s="62"/>
      <c r="AK560" s="62"/>
      <c r="AL560" s="62"/>
      <c r="AM560" s="62"/>
      <c r="AN560" s="62"/>
      <c r="AO560" s="62"/>
      <c r="AP560" s="62"/>
      <c r="AQ560" s="62"/>
      <c r="AR560" s="62"/>
      <c r="AS560" s="62"/>
      <c r="AT560" s="62"/>
      <c r="AU560" s="62"/>
      <c r="AV560" s="62"/>
      <c r="AW560" s="62"/>
      <c r="AX560" s="62"/>
      <c r="AY560" s="62"/>
      <c r="AZ560" s="62"/>
      <c r="BA560" s="62"/>
      <c r="BB560" s="62"/>
      <c r="BC560" s="62"/>
      <c r="BD560" s="62"/>
      <c r="BE560" s="62"/>
      <c r="BF560" s="62"/>
      <c r="BG560" s="62"/>
      <c r="BH560" s="62"/>
      <c r="BI560" s="62"/>
      <c r="BJ560" s="62"/>
      <c r="BK560" s="62"/>
      <c r="BL560" s="62"/>
      <c r="BM560" s="62"/>
      <c r="BN560" s="62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62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62"/>
      <c r="AF561" s="62"/>
      <c r="AG561" s="62"/>
      <c r="AH561" s="62"/>
      <c r="AI561" s="62"/>
      <c r="AJ561" s="62"/>
      <c r="AK561" s="62"/>
      <c r="AL561" s="62"/>
      <c r="AM561" s="62"/>
      <c r="AN561" s="62"/>
      <c r="AO561" s="62"/>
      <c r="AP561" s="62"/>
      <c r="AQ561" s="62"/>
      <c r="AR561" s="62"/>
      <c r="AS561" s="62"/>
      <c r="AT561" s="62"/>
      <c r="AU561" s="62"/>
      <c r="AV561" s="62"/>
      <c r="AW561" s="62"/>
      <c r="AX561" s="62"/>
      <c r="AY561" s="62"/>
      <c r="AZ561" s="62"/>
      <c r="BA561" s="62"/>
      <c r="BB561" s="62"/>
      <c r="BC561" s="62"/>
      <c r="BD561" s="62"/>
      <c r="BE561" s="62"/>
      <c r="BF561" s="62"/>
      <c r="BG561" s="62"/>
      <c r="BH561" s="62"/>
      <c r="BI561" s="62"/>
      <c r="BJ561" s="62"/>
      <c r="BK561" s="62"/>
      <c r="BL561" s="62"/>
      <c r="BM561" s="62"/>
      <c r="BN561" s="62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62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62"/>
      <c r="AF562" s="62"/>
      <c r="AG562" s="62"/>
      <c r="AH562" s="62"/>
      <c r="AI562" s="62"/>
      <c r="AJ562" s="62"/>
      <c r="AK562" s="62"/>
      <c r="AL562" s="62"/>
      <c r="AM562" s="62"/>
      <c r="AN562" s="62"/>
      <c r="AO562" s="62"/>
      <c r="AP562" s="62"/>
      <c r="AQ562" s="62"/>
      <c r="AR562" s="62"/>
      <c r="AS562" s="62"/>
      <c r="AT562" s="62"/>
      <c r="AU562" s="62"/>
      <c r="AV562" s="62"/>
      <c r="AW562" s="62"/>
      <c r="AX562" s="62"/>
      <c r="AY562" s="62"/>
      <c r="AZ562" s="62"/>
      <c r="BA562" s="62"/>
      <c r="BB562" s="62"/>
      <c r="BC562" s="62"/>
      <c r="BD562" s="62"/>
      <c r="BE562" s="62"/>
      <c r="BF562" s="62"/>
      <c r="BG562" s="62"/>
      <c r="BH562" s="62"/>
      <c r="BI562" s="62"/>
      <c r="BJ562" s="62"/>
      <c r="BK562" s="62"/>
      <c r="BL562" s="62"/>
      <c r="BM562" s="62"/>
      <c r="BN562" s="62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62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62"/>
      <c r="AF563" s="62"/>
      <c r="AG563" s="62"/>
      <c r="AH563" s="62"/>
      <c r="AI563" s="62"/>
      <c r="AJ563" s="62"/>
      <c r="AK563" s="62"/>
      <c r="AL563" s="62"/>
      <c r="AM563" s="62"/>
      <c r="AN563" s="62"/>
      <c r="AO563" s="62"/>
      <c r="AP563" s="62"/>
      <c r="AQ563" s="62"/>
      <c r="AR563" s="62"/>
      <c r="AS563" s="62"/>
      <c r="AT563" s="62"/>
      <c r="AU563" s="62"/>
      <c r="AV563" s="62"/>
      <c r="AW563" s="62"/>
      <c r="AX563" s="62"/>
      <c r="AY563" s="62"/>
      <c r="AZ563" s="62"/>
      <c r="BA563" s="62"/>
      <c r="BB563" s="62"/>
      <c r="BC563" s="62"/>
      <c r="BD563" s="62"/>
      <c r="BE563" s="62"/>
      <c r="BF563" s="62"/>
      <c r="BG563" s="62"/>
      <c r="BH563" s="62"/>
      <c r="BI563" s="62"/>
      <c r="BJ563" s="62"/>
      <c r="BK563" s="62"/>
      <c r="BL563" s="62"/>
      <c r="BM563" s="62"/>
      <c r="BN563" s="62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62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62"/>
      <c r="AF564" s="62"/>
      <c r="AG564" s="62"/>
      <c r="AH564" s="62"/>
      <c r="AI564" s="62"/>
      <c r="AJ564" s="62"/>
      <c r="AK564" s="62"/>
      <c r="AL564" s="62"/>
      <c r="AM564" s="62"/>
      <c r="AN564" s="62"/>
      <c r="AO564" s="62"/>
      <c r="AP564" s="62"/>
      <c r="AQ564" s="62"/>
      <c r="AR564" s="62"/>
      <c r="AS564" s="62"/>
      <c r="AT564" s="62"/>
      <c r="AU564" s="62"/>
      <c r="AV564" s="62"/>
      <c r="AW564" s="62"/>
      <c r="AX564" s="62"/>
      <c r="AY564" s="62"/>
      <c r="AZ564" s="62"/>
      <c r="BA564" s="62"/>
      <c r="BB564" s="62"/>
      <c r="BC564" s="62"/>
      <c r="BD564" s="62"/>
      <c r="BE564" s="62"/>
      <c r="BF564" s="62"/>
      <c r="BG564" s="62"/>
      <c r="BH564" s="62"/>
      <c r="BI564" s="62"/>
      <c r="BJ564" s="62"/>
      <c r="BK564" s="62"/>
      <c r="BL564" s="62"/>
      <c r="BM564" s="62"/>
      <c r="BN564" s="62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62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62"/>
      <c r="AF565" s="62"/>
      <c r="AG565" s="62"/>
      <c r="AH565" s="62"/>
      <c r="AI565" s="62"/>
      <c r="AJ565" s="62"/>
      <c r="AK565" s="62"/>
      <c r="AL565" s="62"/>
      <c r="AM565" s="62"/>
      <c r="AN565" s="62"/>
      <c r="AO565" s="62"/>
      <c r="AP565" s="62"/>
      <c r="AQ565" s="62"/>
      <c r="AR565" s="62"/>
      <c r="AS565" s="62"/>
      <c r="AT565" s="62"/>
      <c r="AU565" s="62"/>
      <c r="AV565" s="62"/>
      <c r="AW565" s="62"/>
      <c r="AX565" s="62"/>
      <c r="AY565" s="62"/>
      <c r="AZ565" s="62"/>
      <c r="BA565" s="62"/>
      <c r="BB565" s="62"/>
      <c r="BC565" s="62"/>
      <c r="BD565" s="62"/>
      <c r="BE565" s="62"/>
      <c r="BF565" s="62"/>
      <c r="BG565" s="62"/>
      <c r="BH565" s="62"/>
      <c r="BI565" s="62"/>
      <c r="BJ565" s="62"/>
      <c r="BK565" s="62"/>
      <c r="BL565" s="62"/>
      <c r="BM565" s="62"/>
      <c r="BN565" s="62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62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62"/>
      <c r="AF566" s="62"/>
      <c r="AG566" s="62"/>
      <c r="AH566" s="62"/>
      <c r="AI566" s="62"/>
      <c r="AJ566" s="62"/>
      <c r="AK566" s="62"/>
      <c r="AL566" s="62"/>
      <c r="AM566" s="62"/>
      <c r="AN566" s="62"/>
      <c r="AO566" s="62"/>
      <c r="AP566" s="62"/>
      <c r="AQ566" s="62"/>
      <c r="AR566" s="62"/>
      <c r="AS566" s="62"/>
      <c r="AT566" s="62"/>
      <c r="AU566" s="62"/>
      <c r="AV566" s="62"/>
      <c r="AW566" s="62"/>
      <c r="AX566" s="62"/>
      <c r="AY566" s="62"/>
      <c r="AZ566" s="62"/>
      <c r="BA566" s="62"/>
      <c r="BB566" s="62"/>
      <c r="BC566" s="62"/>
      <c r="BD566" s="62"/>
      <c r="BE566" s="62"/>
      <c r="BF566" s="62"/>
      <c r="BG566" s="62"/>
      <c r="BH566" s="62"/>
      <c r="BI566" s="62"/>
      <c r="BJ566" s="62"/>
      <c r="BK566" s="62"/>
      <c r="BL566" s="62"/>
      <c r="BM566" s="62"/>
      <c r="BN566" s="62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62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62"/>
      <c r="AF567" s="62"/>
      <c r="AG567" s="62"/>
      <c r="AH567" s="62"/>
      <c r="AI567" s="62"/>
      <c r="AJ567" s="62"/>
      <c r="AK567" s="62"/>
      <c r="AL567" s="62"/>
      <c r="AM567" s="62"/>
      <c r="AN567" s="62"/>
      <c r="AO567" s="62"/>
      <c r="AP567" s="62"/>
      <c r="AQ567" s="62"/>
      <c r="AR567" s="62"/>
      <c r="AS567" s="62"/>
      <c r="AT567" s="62"/>
      <c r="AU567" s="62"/>
      <c r="AV567" s="62"/>
      <c r="AW567" s="62"/>
      <c r="AX567" s="62"/>
      <c r="AY567" s="62"/>
      <c r="AZ567" s="62"/>
      <c r="BA567" s="62"/>
      <c r="BB567" s="62"/>
      <c r="BC567" s="62"/>
      <c r="BD567" s="62"/>
      <c r="BE567" s="62"/>
      <c r="BF567" s="62"/>
      <c r="BG567" s="62"/>
      <c r="BH567" s="62"/>
      <c r="BI567" s="62"/>
      <c r="BJ567" s="62"/>
      <c r="BK567" s="62"/>
      <c r="BL567" s="62"/>
      <c r="BM567" s="62"/>
      <c r="BN567" s="62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62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62"/>
      <c r="AF568" s="62"/>
      <c r="AG568" s="62"/>
      <c r="AH568" s="62"/>
      <c r="AI568" s="62"/>
      <c r="AJ568" s="62"/>
      <c r="AK568" s="62"/>
      <c r="AL568" s="62"/>
      <c r="AM568" s="62"/>
      <c r="AN568" s="62"/>
      <c r="AO568" s="62"/>
      <c r="AP568" s="62"/>
      <c r="AQ568" s="62"/>
      <c r="AR568" s="62"/>
      <c r="AS568" s="62"/>
      <c r="AT568" s="62"/>
      <c r="AU568" s="62"/>
      <c r="AV568" s="62"/>
      <c r="AW568" s="62"/>
      <c r="AX568" s="62"/>
      <c r="AY568" s="62"/>
      <c r="AZ568" s="62"/>
      <c r="BA568" s="62"/>
      <c r="BB568" s="62"/>
      <c r="BC568" s="62"/>
      <c r="BD568" s="62"/>
      <c r="BE568" s="62"/>
      <c r="BF568" s="62"/>
      <c r="BG568" s="62"/>
      <c r="BH568" s="62"/>
      <c r="BI568" s="62"/>
      <c r="BJ568" s="62"/>
      <c r="BK568" s="62"/>
      <c r="BL568" s="62"/>
      <c r="BM568" s="62"/>
      <c r="BN568" s="62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62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62"/>
      <c r="AF569" s="62"/>
      <c r="AG569" s="62"/>
      <c r="AH569" s="62"/>
      <c r="AI569" s="62"/>
      <c r="AJ569" s="62"/>
      <c r="AK569" s="62"/>
      <c r="AL569" s="62"/>
      <c r="AM569" s="62"/>
      <c r="AN569" s="62"/>
      <c r="AO569" s="62"/>
      <c r="AP569" s="62"/>
      <c r="AQ569" s="62"/>
      <c r="AR569" s="62"/>
      <c r="AS569" s="62"/>
      <c r="AT569" s="62"/>
      <c r="AU569" s="62"/>
      <c r="AV569" s="62"/>
      <c r="AW569" s="62"/>
      <c r="AX569" s="62"/>
      <c r="AY569" s="62"/>
      <c r="AZ569" s="62"/>
      <c r="BA569" s="62"/>
      <c r="BB569" s="62"/>
      <c r="BC569" s="62"/>
      <c r="BD569" s="62"/>
      <c r="BE569" s="62"/>
      <c r="BF569" s="62"/>
      <c r="BG569" s="62"/>
      <c r="BH569" s="62"/>
      <c r="BI569" s="62"/>
      <c r="BJ569" s="62"/>
      <c r="BK569" s="62"/>
      <c r="BL569" s="62"/>
      <c r="BM569" s="62"/>
      <c r="BN569" s="62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62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62"/>
      <c r="AF570" s="62"/>
      <c r="AG570" s="62"/>
      <c r="AH570" s="62"/>
      <c r="AI570" s="62"/>
      <c r="AJ570" s="62"/>
      <c r="AK570" s="62"/>
      <c r="AL570" s="62"/>
      <c r="AM570" s="62"/>
      <c r="AN570" s="62"/>
      <c r="AO570" s="62"/>
      <c r="AP570" s="62"/>
      <c r="AQ570" s="62"/>
      <c r="AR570" s="62"/>
      <c r="AS570" s="62"/>
      <c r="AT570" s="62"/>
      <c r="AU570" s="62"/>
      <c r="AV570" s="62"/>
      <c r="AW570" s="62"/>
      <c r="AX570" s="62"/>
      <c r="AY570" s="62"/>
      <c r="AZ570" s="62"/>
      <c r="BA570" s="62"/>
      <c r="BB570" s="62"/>
      <c r="BC570" s="62"/>
      <c r="BD570" s="62"/>
      <c r="BE570" s="62"/>
      <c r="BF570" s="62"/>
      <c r="BG570" s="62"/>
      <c r="BH570" s="62"/>
      <c r="BI570" s="62"/>
      <c r="BJ570" s="62"/>
      <c r="BK570" s="62"/>
      <c r="BL570" s="62"/>
      <c r="BM570" s="62"/>
      <c r="BN570" s="62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62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62"/>
      <c r="AF571" s="62"/>
      <c r="AG571" s="62"/>
      <c r="AH571" s="62"/>
      <c r="AI571" s="62"/>
      <c r="AJ571" s="62"/>
      <c r="AK571" s="62"/>
      <c r="AL571" s="62"/>
      <c r="AM571" s="62"/>
      <c r="AN571" s="62"/>
      <c r="AO571" s="62"/>
      <c r="AP571" s="62"/>
      <c r="AQ571" s="62"/>
      <c r="AR571" s="62"/>
      <c r="AS571" s="62"/>
      <c r="AT571" s="62"/>
      <c r="AU571" s="62"/>
      <c r="AV571" s="62"/>
      <c r="AW571" s="62"/>
      <c r="AX571" s="62"/>
      <c r="AY571" s="62"/>
      <c r="AZ571" s="62"/>
      <c r="BA571" s="62"/>
      <c r="BB571" s="62"/>
      <c r="BC571" s="62"/>
      <c r="BD571" s="62"/>
      <c r="BE571" s="62"/>
      <c r="BF571" s="62"/>
      <c r="BG571" s="62"/>
      <c r="BH571" s="62"/>
      <c r="BI571" s="62"/>
      <c r="BJ571" s="62"/>
      <c r="BK571" s="62"/>
      <c r="BL571" s="62"/>
      <c r="BM571" s="62"/>
      <c r="BN571" s="62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62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62"/>
      <c r="AF572" s="62"/>
      <c r="AG572" s="62"/>
      <c r="AH572" s="62"/>
      <c r="AI572" s="62"/>
      <c r="AJ572" s="62"/>
      <c r="AK572" s="62"/>
      <c r="AL572" s="62"/>
      <c r="AM572" s="62"/>
      <c r="AN572" s="62"/>
      <c r="AO572" s="62"/>
      <c r="AP572" s="62"/>
      <c r="AQ572" s="62"/>
      <c r="AR572" s="62"/>
      <c r="AS572" s="62"/>
      <c r="AT572" s="62"/>
      <c r="AU572" s="62"/>
      <c r="AV572" s="62"/>
      <c r="AW572" s="62"/>
      <c r="AX572" s="62"/>
      <c r="AY572" s="62"/>
      <c r="AZ572" s="62"/>
      <c r="BA572" s="62"/>
      <c r="BB572" s="62"/>
      <c r="BC572" s="62"/>
      <c r="BD572" s="62"/>
      <c r="BE572" s="62"/>
      <c r="BF572" s="62"/>
      <c r="BG572" s="62"/>
      <c r="BH572" s="62"/>
      <c r="BI572" s="62"/>
      <c r="BJ572" s="62"/>
      <c r="BK572" s="62"/>
      <c r="BL572" s="62"/>
      <c r="BM572" s="62"/>
      <c r="BN572" s="62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62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62"/>
      <c r="AF573" s="62"/>
      <c r="AG573" s="62"/>
      <c r="AH573" s="62"/>
      <c r="AI573" s="62"/>
      <c r="AJ573" s="62"/>
      <c r="AK573" s="62"/>
      <c r="AL573" s="62"/>
      <c r="AM573" s="62"/>
      <c r="AN573" s="62"/>
      <c r="AO573" s="62"/>
      <c r="AP573" s="62"/>
      <c r="AQ573" s="62"/>
      <c r="AR573" s="62"/>
      <c r="AS573" s="62"/>
      <c r="AT573" s="62"/>
      <c r="AU573" s="62"/>
      <c r="AV573" s="62"/>
      <c r="AW573" s="62"/>
      <c r="AX573" s="62"/>
      <c r="AY573" s="62"/>
      <c r="AZ573" s="62"/>
      <c r="BA573" s="62"/>
      <c r="BB573" s="62"/>
      <c r="BC573" s="62"/>
      <c r="BD573" s="62"/>
      <c r="BE573" s="62"/>
      <c r="BF573" s="62"/>
      <c r="BG573" s="62"/>
      <c r="BH573" s="62"/>
      <c r="BI573" s="62"/>
      <c r="BJ573" s="62"/>
      <c r="BK573" s="62"/>
      <c r="BL573" s="62"/>
      <c r="BM573" s="62"/>
      <c r="BN573" s="62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62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62"/>
      <c r="AF574" s="62"/>
      <c r="AG574" s="62"/>
      <c r="AH574" s="62"/>
      <c r="AI574" s="62"/>
      <c r="AJ574" s="62"/>
      <c r="AK574" s="62"/>
      <c r="AL574" s="62"/>
      <c r="AM574" s="62"/>
      <c r="AN574" s="62"/>
      <c r="AO574" s="62"/>
      <c r="AP574" s="62"/>
      <c r="AQ574" s="62"/>
      <c r="AR574" s="62"/>
      <c r="AS574" s="62"/>
      <c r="AT574" s="62"/>
      <c r="AU574" s="62"/>
      <c r="AV574" s="62"/>
      <c r="AW574" s="62"/>
      <c r="AX574" s="62"/>
      <c r="AY574" s="62"/>
      <c r="AZ574" s="62"/>
      <c r="BA574" s="62"/>
      <c r="BB574" s="62"/>
      <c r="BC574" s="62"/>
      <c r="BD574" s="62"/>
      <c r="BE574" s="62"/>
      <c r="BF574" s="62"/>
      <c r="BG574" s="62"/>
      <c r="BH574" s="62"/>
      <c r="BI574" s="62"/>
      <c r="BJ574" s="62"/>
      <c r="BK574" s="62"/>
      <c r="BL574" s="62"/>
      <c r="BM574" s="62"/>
      <c r="BN574" s="62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62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62"/>
      <c r="AF575" s="62"/>
      <c r="AG575" s="62"/>
      <c r="AH575" s="62"/>
      <c r="AI575" s="62"/>
      <c r="AJ575" s="62"/>
      <c r="AK575" s="62"/>
      <c r="AL575" s="62"/>
      <c r="AM575" s="62"/>
      <c r="AN575" s="62"/>
      <c r="AO575" s="62"/>
      <c r="AP575" s="62"/>
      <c r="AQ575" s="62"/>
      <c r="AR575" s="62"/>
      <c r="AS575" s="62"/>
      <c r="AT575" s="62"/>
      <c r="AU575" s="62"/>
      <c r="AV575" s="62"/>
      <c r="AW575" s="62"/>
      <c r="AX575" s="62"/>
      <c r="AY575" s="62"/>
      <c r="AZ575" s="62"/>
      <c r="BA575" s="62"/>
      <c r="BB575" s="62"/>
      <c r="BC575" s="62"/>
      <c r="BD575" s="62"/>
      <c r="BE575" s="62"/>
      <c r="BF575" s="62"/>
      <c r="BG575" s="62"/>
      <c r="BH575" s="62"/>
      <c r="BI575" s="62"/>
      <c r="BJ575" s="62"/>
      <c r="BK575" s="62"/>
      <c r="BL575" s="62"/>
      <c r="BM575" s="62"/>
      <c r="BN575" s="62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62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/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2"/>
      <c r="BJ576" s="62"/>
      <c r="BK576" s="62"/>
      <c r="BL576" s="62"/>
      <c r="BM576" s="62"/>
      <c r="BN576" s="62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62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2"/>
      <c r="BJ577" s="62"/>
      <c r="BK577" s="62"/>
      <c r="BL577" s="62"/>
      <c r="BM577" s="62"/>
      <c r="BN577" s="62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62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62"/>
      <c r="AF578" s="62"/>
      <c r="AG578" s="62"/>
      <c r="AH578" s="62"/>
      <c r="AI578" s="62"/>
      <c r="AJ578" s="62"/>
      <c r="AK578" s="62"/>
      <c r="AL578" s="62"/>
      <c r="AM578" s="62"/>
      <c r="AN578" s="62"/>
      <c r="AO578" s="62"/>
      <c r="AP578" s="62"/>
      <c r="AQ578" s="62"/>
      <c r="AR578" s="62"/>
      <c r="AS578" s="62"/>
      <c r="AT578" s="62"/>
      <c r="AU578" s="62"/>
      <c r="AV578" s="62"/>
      <c r="AW578" s="62"/>
      <c r="AX578" s="62"/>
      <c r="AY578" s="62"/>
      <c r="AZ578" s="62"/>
      <c r="BA578" s="62"/>
      <c r="BB578" s="62"/>
      <c r="BC578" s="62"/>
      <c r="BD578" s="62"/>
      <c r="BE578" s="62"/>
      <c r="BF578" s="62"/>
      <c r="BG578" s="62"/>
      <c r="BH578" s="62"/>
      <c r="BI578" s="62"/>
      <c r="BJ578" s="62"/>
      <c r="BK578" s="62"/>
      <c r="BL578" s="62"/>
      <c r="BM578" s="62"/>
      <c r="BN578" s="62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62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62"/>
      <c r="AF579" s="62"/>
      <c r="AG579" s="62"/>
      <c r="AH579" s="62"/>
      <c r="AI579" s="62"/>
      <c r="AJ579" s="62"/>
      <c r="AK579" s="62"/>
      <c r="AL579" s="62"/>
      <c r="AM579" s="62"/>
      <c r="AN579" s="62"/>
      <c r="AO579" s="62"/>
      <c r="AP579" s="62"/>
      <c r="AQ579" s="62"/>
      <c r="AR579" s="62"/>
      <c r="AS579" s="62"/>
      <c r="AT579" s="62"/>
      <c r="AU579" s="62"/>
      <c r="AV579" s="62"/>
      <c r="AW579" s="62"/>
      <c r="AX579" s="62"/>
      <c r="AY579" s="62"/>
      <c r="AZ579" s="62"/>
      <c r="BA579" s="62"/>
      <c r="BB579" s="62"/>
      <c r="BC579" s="62"/>
      <c r="BD579" s="62"/>
      <c r="BE579" s="62"/>
      <c r="BF579" s="62"/>
      <c r="BG579" s="62"/>
      <c r="BH579" s="62"/>
      <c r="BI579" s="62"/>
      <c r="BJ579" s="62"/>
      <c r="BK579" s="62"/>
      <c r="BL579" s="62"/>
      <c r="BM579" s="62"/>
      <c r="BN579" s="62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62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62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62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62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62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62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62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62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62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62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62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62"/>
      <c r="AF590" s="62"/>
      <c r="AG590" s="62"/>
      <c r="AH590" s="62"/>
      <c r="AI590" s="62"/>
      <c r="AJ590" s="62"/>
      <c r="AK590" s="62"/>
      <c r="AL590" s="62"/>
      <c r="AM590" s="62"/>
      <c r="AN590" s="62"/>
      <c r="AO590" s="62"/>
      <c r="AP590" s="62"/>
      <c r="AQ590" s="62"/>
      <c r="AR590" s="62"/>
      <c r="AS590" s="62"/>
      <c r="AT590" s="62"/>
      <c r="AU590" s="62"/>
      <c r="AV590" s="62"/>
      <c r="AW590" s="62"/>
      <c r="AX590" s="62"/>
      <c r="AY590" s="62"/>
      <c r="AZ590" s="62"/>
      <c r="BA590" s="62"/>
      <c r="BB590" s="62"/>
      <c r="BC590" s="62"/>
      <c r="BD590" s="62"/>
      <c r="BE590" s="62"/>
      <c r="BF590" s="62"/>
      <c r="BG590" s="62"/>
      <c r="BH590" s="62"/>
      <c r="BI590" s="62"/>
      <c r="BJ590" s="62"/>
      <c r="BK590" s="62"/>
      <c r="BL590" s="62"/>
      <c r="BM590" s="62"/>
      <c r="BN590" s="62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62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62"/>
      <c r="AF591" s="62"/>
      <c r="AG591" s="62"/>
      <c r="AH591" s="62"/>
      <c r="AI591" s="62"/>
      <c r="AJ591" s="62"/>
      <c r="AK591" s="62"/>
      <c r="AL591" s="62"/>
      <c r="AM591" s="62"/>
      <c r="AN591" s="62"/>
      <c r="AO591" s="62"/>
      <c r="AP591" s="62"/>
      <c r="AQ591" s="62"/>
      <c r="AR591" s="62"/>
      <c r="AS591" s="62"/>
      <c r="AT591" s="62"/>
      <c r="AU591" s="62"/>
      <c r="AV591" s="62"/>
      <c r="AW591" s="62"/>
      <c r="AX591" s="62"/>
      <c r="AY591" s="62"/>
      <c r="AZ591" s="62"/>
      <c r="BA591" s="62"/>
      <c r="BB591" s="62"/>
      <c r="BC591" s="62"/>
      <c r="BD591" s="62"/>
      <c r="BE591" s="62"/>
      <c r="BF591" s="62"/>
      <c r="BG591" s="62"/>
      <c r="BH591" s="62"/>
      <c r="BI591" s="62"/>
      <c r="BJ591" s="62"/>
      <c r="BK591" s="62"/>
      <c r="BL591" s="62"/>
      <c r="BM591" s="62"/>
      <c r="BN591" s="62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62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62"/>
      <c r="AF592" s="62"/>
      <c r="AG592" s="62"/>
      <c r="AH592" s="62"/>
      <c r="AI592" s="62"/>
      <c r="AJ592" s="62"/>
      <c r="AK592" s="62"/>
      <c r="AL592" s="62"/>
      <c r="AM592" s="62"/>
      <c r="AN592" s="62"/>
      <c r="AO592" s="62"/>
      <c r="AP592" s="62"/>
      <c r="AQ592" s="62"/>
      <c r="AR592" s="62"/>
      <c r="AS592" s="62"/>
      <c r="AT592" s="62"/>
      <c r="AU592" s="62"/>
      <c r="AV592" s="62"/>
      <c r="AW592" s="62"/>
      <c r="AX592" s="62"/>
      <c r="AY592" s="62"/>
      <c r="AZ592" s="62"/>
      <c r="BA592" s="62"/>
      <c r="BB592" s="62"/>
      <c r="BC592" s="62"/>
      <c r="BD592" s="62"/>
      <c r="BE592" s="62"/>
      <c r="BF592" s="62"/>
      <c r="BG592" s="62"/>
      <c r="BH592" s="62"/>
      <c r="BI592" s="62"/>
      <c r="BJ592" s="62"/>
      <c r="BK592" s="62"/>
      <c r="BL592" s="62"/>
      <c r="BM592" s="62"/>
      <c r="BN592" s="62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62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62"/>
      <c r="AF593" s="62"/>
      <c r="AG593" s="62"/>
      <c r="AH593" s="62"/>
      <c r="AI593" s="62"/>
      <c r="AJ593" s="62"/>
      <c r="AK593" s="62"/>
      <c r="AL593" s="62"/>
      <c r="AM593" s="62"/>
      <c r="AN593" s="62"/>
      <c r="AO593" s="62"/>
      <c r="AP593" s="62"/>
      <c r="AQ593" s="62"/>
      <c r="AR593" s="62"/>
      <c r="AS593" s="62"/>
      <c r="AT593" s="62"/>
      <c r="AU593" s="62"/>
      <c r="AV593" s="62"/>
      <c r="AW593" s="62"/>
      <c r="AX593" s="62"/>
      <c r="AY593" s="62"/>
      <c r="AZ593" s="62"/>
      <c r="BA593" s="62"/>
      <c r="BB593" s="62"/>
      <c r="BC593" s="62"/>
      <c r="BD593" s="62"/>
      <c r="BE593" s="62"/>
      <c r="BF593" s="62"/>
      <c r="BG593" s="62"/>
      <c r="BH593" s="62"/>
      <c r="BI593" s="62"/>
      <c r="BJ593" s="62"/>
      <c r="BK593" s="62"/>
      <c r="BL593" s="62"/>
      <c r="BM593" s="62"/>
      <c r="BN593" s="62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62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62"/>
      <c r="AF594" s="62"/>
      <c r="AG594" s="62"/>
      <c r="AH594" s="62"/>
      <c r="AI594" s="62"/>
      <c r="AJ594" s="62"/>
      <c r="AK594" s="62"/>
      <c r="AL594" s="62"/>
      <c r="AM594" s="62"/>
      <c r="AN594" s="62"/>
      <c r="AO594" s="62"/>
      <c r="AP594" s="62"/>
      <c r="AQ594" s="62"/>
      <c r="AR594" s="62"/>
      <c r="AS594" s="62"/>
      <c r="AT594" s="62"/>
      <c r="AU594" s="62"/>
      <c r="AV594" s="62"/>
      <c r="AW594" s="62"/>
      <c r="AX594" s="62"/>
      <c r="AY594" s="62"/>
      <c r="AZ594" s="62"/>
      <c r="BA594" s="62"/>
      <c r="BB594" s="62"/>
      <c r="BC594" s="62"/>
      <c r="BD594" s="62"/>
      <c r="BE594" s="62"/>
      <c r="BF594" s="62"/>
      <c r="BG594" s="62"/>
      <c r="BH594" s="62"/>
      <c r="BI594" s="62"/>
      <c r="BJ594" s="62"/>
      <c r="BK594" s="62"/>
      <c r="BL594" s="62"/>
      <c r="BM594" s="62"/>
      <c r="BN594" s="62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62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62"/>
      <c r="AF595" s="62"/>
      <c r="AG595" s="62"/>
      <c r="AH595" s="62"/>
      <c r="AI595" s="62"/>
      <c r="AJ595" s="62"/>
      <c r="AK595" s="62"/>
      <c r="AL595" s="62"/>
      <c r="AM595" s="62"/>
      <c r="AN595" s="62"/>
      <c r="AO595" s="62"/>
      <c r="AP595" s="62"/>
      <c r="AQ595" s="62"/>
      <c r="AR595" s="62"/>
      <c r="AS595" s="62"/>
      <c r="AT595" s="62"/>
      <c r="AU595" s="62"/>
      <c r="AV595" s="62"/>
      <c r="AW595" s="62"/>
      <c r="AX595" s="62"/>
      <c r="AY595" s="62"/>
      <c r="AZ595" s="62"/>
      <c r="BA595" s="62"/>
      <c r="BB595" s="62"/>
      <c r="BC595" s="62"/>
      <c r="BD595" s="62"/>
      <c r="BE595" s="62"/>
      <c r="BF595" s="62"/>
      <c r="BG595" s="62"/>
      <c r="BH595" s="62"/>
      <c r="BI595" s="62"/>
      <c r="BJ595" s="62"/>
      <c r="BK595" s="62"/>
      <c r="BL595" s="62"/>
      <c r="BM595" s="62"/>
      <c r="BN595" s="62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62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62"/>
      <c r="AF596" s="62"/>
      <c r="AG596" s="62"/>
      <c r="AH596" s="62"/>
      <c r="AI596" s="62"/>
      <c r="AJ596" s="62"/>
      <c r="AK596" s="62"/>
      <c r="AL596" s="62"/>
      <c r="AM596" s="62"/>
      <c r="AN596" s="62"/>
      <c r="AO596" s="62"/>
      <c r="AP596" s="62"/>
      <c r="AQ596" s="62"/>
      <c r="AR596" s="62"/>
      <c r="AS596" s="62"/>
      <c r="AT596" s="62"/>
      <c r="AU596" s="62"/>
      <c r="AV596" s="62"/>
      <c r="AW596" s="62"/>
      <c r="AX596" s="62"/>
      <c r="AY596" s="62"/>
      <c r="AZ596" s="62"/>
      <c r="BA596" s="62"/>
      <c r="BB596" s="62"/>
      <c r="BC596" s="62"/>
      <c r="BD596" s="62"/>
      <c r="BE596" s="62"/>
      <c r="BF596" s="62"/>
      <c r="BG596" s="62"/>
      <c r="BH596" s="62"/>
      <c r="BI596" s="62"/>
      <c r="BJ596" s="62"/>
      <c r="BK596" s="62"/>
      <c r="BL596" s="62"/>
      <c r="BM596" s="62"/>
      <c r="BN596" s="62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62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62"/>
      <c r="AF597" s="62"/>
      <c r="AG597" s="62"/>
      <c r="AH597" s="62"/>
      <c r="AI597" s="62"/>
      <c r="AJ597" s="62"/>
      <c r="AK597" s="62"/>
      <c r="AL597" s="62"/>
      <c r="AM597" s="62"/>
      <c r="AN597" s="62"/>
      <c r="AO597" s="62"/>
      <c r="AP597" s="62"/>
      <c r="AQ597" s="62"/>
      <c r="AR597" s="62"/>
      <c r="AS597" s="62"/>
      <c r="AT597" s="62"/>
      <c r="AU597" s="62"/>
      <c r="AV597" s="62"/>
      <c r="AW597" s="62"/>
      <c r="AX597" s="62"/>
      <c r="AY597" s="62"/>
      <c r="AZ597" s="62"/>
      <c r="BA597" s="62"/>
      <c r="BB597" s="62"/>
      <c r="BC597" s="62"/>
      <c r="BD597" s="62"/>
      <c r="BE597" s="62"/>
      <c r="BF597" s="62"/>
      <c r="BG597" s="62"/>
      <c r="BH597" s="62"/>
      <c r="BI597" s="62"/>
      <c r="BJ597" s="62"/>
      <c r="BK597" s="62"/>
      <c r="BL597" s="62"/>
      <c r="BM597" s="62"/>
      <c r="BN597" s="62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62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62"/>
      <c r="AF598" s="62"/>
      <c r="AG598" s="62"/>
      <c r="AH598" s="62"/>
      <c r="AI598" s="62"/>
      <c r="AJ598" s="62"/>
      <c r="AK598" s="62"/>
      <c r="AL598" s="62"/>
      <c r="AM598" s="62"/>
      <c r="AN598" s="62"/>
      <c r="AO598" s="62"/>
      <c r="AP598" s="62"/>
      <c r="AQ598" s="62"/>
      <c r="AR598" s="62"/>
      <c r="AS598" s="62"/>
      <c r="AT598" s="62"/>
      <c r="AU598" s="62"/>
      <c r="AV598" s="62"/>
      <c r="AW598" s="62"/>
      <c r="AX598" s="62"/>
      <c r="AY598" s="62"/>
      <c r="AZ598" s="62"/>
      <c r="BA598" s="62"/>
      <c r="BB598" s="62"/>
      <c r="BC598" s="62"/>
      <c r="BD598" s="62"/>
      <c r="BE598" s="62"/>
      <c r="BF598" s="62"/>
      <c r="BG598" s="62"/>
      <c r="BH598" s="62"/>
      <c r="BI598" s="62"/>
      <c r="BJ598" s="62"/>
      <c r="BK598" s="62"/>
      <c r="BL598" s="62"/>
      <c r="BM598" s="62"/>
      <c r="BN598" s="62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62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62"/>
      <c r="AF599" s="62"/>
      <c r="AG599" s="62"/>
      <c r="AH599" s="62"/>
      <c r="AI599" s="62"/>
      <c r="AJ599" s="62"/>
      <c r="AK599" s="62"/>
      <c r="AL599" s="62"/>
      <c r="AM599" s="62"/>
      <c r="AN599" s="62"/>
      <c r="AO599" s="62"/>
      <c r="AP599" s="62"/>
      <c r="AQ599" s="62"/>
      <c r="AR599" s="62"/>
      <c r="AS599" s="62"/>
      <c r="AT599" s="62"/>
      <c r="AU599" s="62"/>
      <c r="AV599" s="62"/>
      <c r="AW599" s="62"/>
      <c r="AX599" s="62"/>
      <c r="AY599" s="62"/>
      <c r="AZ599" s="62"/>
      <c r="BA599" s="62"/>
      <c r="BB599" s="62"/>
      <c r="BC599" s="62"/>
      <c r="BD599" s="62"/>
      <c r="BE599" s="62"/>
      <c r="BF599" s="62"/>
      <c r="BG599" s="62"/>
      <c r="BH599" s="62"/>
      <c r="BI599" s="62"/>
      <c r="BJ599" s="62"/>
      <c r="BK599" s="62"/>
      <c r="BL599" s="62"/>
      <c r="BM599" s="62"/>
      <c r="BN599" s="62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62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62"/>
      <c r="AF600" s="62"/>
      <c r="AG600" s="62"/>
      <c r="AH600" s="62"/>
      <c r="AI600" s="62"/>
      <c r="AJ600" s="62"/>
      <c r="AK600" s="62"/>
      <c r="AL600" s="62"/>
      <c r="AM600" s="62"/>
      <c r="AN600" s="62"/>
      <c r="AO600" s="62"/>
      <c r="AP600" s="62"/>
      <c r="AQ600" s="62"/>
      <c r="AR600" s="62"/>
      <c r="AS600" s="62"/>
      <c r="AT600" s="62"/>
      <c r="AU600" s="62"/>
      <c r="AV600" s="62"/>
      <c r="AW600" s="62"/>
      <c r="AX600" s="62"/>
      <c r="AY600" s="62"/>
      <c r="AZ600" s="62"/>
      <c r="BA600" s="62"/>
      <c r="BB600" s="62"/>
      <c r="BC600" s="62"/>
      <c r="BD600" s="62"/>
      <c r="BE600" s="62"/>
      <c r="BF600" s="62"/>
      <c r="BG600" s="62"/>
      <c r="BH600" s="62"/>
      <c r="BI600" s="62"/>
      <c r="BJ600" s="62"/>
      <c r="BK600" s="62"/>
      <c r="BL600" s="62"/>
      <c r="BM600" s="62"/>
      <c r="BN600" s="62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62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62"/>
      <c r="AF601" s="62"/>
      <c r="AG601" s="62"/>
      <c r="AH601" s="62"/>
      <c r="AI601" s="62"/>
      <c r="AJ601" s="62"/>
      <c r="AK601" s="62"/>
      <c r="AL601" s="62"/>
      <c r="AM601" s="62"/>
      <c r="AN601" s="62"/>
      <c r="AO601" s="62"/>
      <c r="AP601" s="62"/>
      <c r="AQ601" s="62"/>
      <c r="AR601" s="62"/>
      <c r="AS601" s="62"/>
      <c r="AT601" s="62"/>
      <c r="AU601" s="62"/>
      <c r="AV601" s="62"/>
      <c r="AW601" s="62"/>
      <c r="AX601" s="62"/>
      <c r="AY601" s="62"/>
      <c r="AZ601" s="62"/>
      <c r="BA601" s="62"/>
      <c r="BB601" s="62"/>
      <c r="BC601" s="62"/>
      <c r="BD601" s="62"/>
      <c r="BE601" s="62"/>
      <c r="BF601" s="62"/>
      <c r="BG601" s="62"/>
      <c r="BH601" s="62"/>
      <c r="BI601" s="62"/>
      <c r="BJ601" s="62"/>
      <c r="BK601" s="62"/>
      <c r="BL601" s="62"/>
      <c r="BM601" s="62"/>
      <c r="BN601" s="62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62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62"/>
      <c r="AF602" s="62"/>
      <c r="AG602" s="62"/>
      <c r="AH602" s="62"/>
      <c r="AI602" s="62"/>
      <c r="AJ602" s="62"/>
      <c r="AK602" s="62"/>
      <c r="AL602" s="62"/>
      <c r="AM602" s="62"/>
      <c r="AN602" s="62"/>
      <c r="AO602" s="62"/>
      <c r="AP602" s="62"/>
      <c r="AQ602" s="62"/>
      <c r="AR602" s="62"/>
      <c r="AS602" s="62"/>
      <c r="AT602" s="62"/>
      <c r="AU602" s="62"/>
      <c r="AV602" s="62"/>
      <c r="AW602" s="62"/>
      <c r="AX602" s="62"/>
      <c r="AY602" s="62"/>
      <c r="AZ602" s="62"/>
      <c r="BA602" s="62"/>
      <c r="BB602" s="62"/>
      <c r="BC602" s="62"/>
      <c r="BD602" s="62"/>
      <c r="BE602" s="62"/>
      <c r="BF602" s="62"/>
      <c r="BG602" s="62"/>
      <c r="BH602" s="62"/>
      <c r="BI602" s="62"/>
      <c r="BJ602" s="62"/>
      <c r="BK602" s="62"/>
      <c r="BL602" s="62"/>
      <c r="BM602" s="62"/>
      <c r="BN602" s="62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62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62"/>
      <c r="AF603" s="62"/>
      <c r="AG603" s="62"/>
      <c r="AH603" s="62"/>
      <c r="AI603" s="62"/>
      <c r="AJ603" s="62"/>
      <c r="AK603" s="62"/>
      <c r="AL603" s="62"/>
      <c r="AM603" s="62"/>
      <c r="AN603" s="62"/>
      <c r="AO603" s="62"/>
      <c r="AP603" s="62"/>
      <c r="AQ603" s="62"/>
      <c r="AR603" s="62"/>
      <c r="AS603" s="62"/>
      <c r="AT603" s="62"/>
      <c r="AU603" s="62"/>
      <c r="AV603" s="62"/>
      <c r="AW603" s="62"/>
      <c r="AX603" s="62"/>
      <c r="AY603" s="62"/>
      <c r="AZ603" s="62"/>
      <c r="BA603" s="62"/>
      <c r="BB603" s="62"/>
      <c r="BC603" s="62"/>
      <c r="BD603" s="62"/>
      <c r="BE603" s="62"/>
      <c r="BF603" s="62"/>
      <c r="BG603" s="62"/>
      <c r="BH603" s="62"/>
      <c r="BI603" s="62"/>
      <c r="BJ603" s="62"/>
      <c r="BK603" s="62"/>
      <c r="BL603" s="62"/>
      <c r="BM603" s="62"/>
      <c r="BN603" s="62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62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62"/>
      <c r="AF604" s="62"/>
      <c r="AG604" s="62"/>
      <c r="AH604" s="62"/>
      <c r="AI604" s="62"/>
      <c r="AJ604" s="62"/>
      <c r="AK604" s="62"/>
      <c r="AL604" s="62"/>
      <c r="AM604" s="62"/>
      <c r="AN604" s="62"/>
      <c r="AO604" s="62"/>
      <c r="AP604" s="62"/>
      <c r="AQ604" s="62"/>
      <c r="AR604" s="62"/>
      <c r="AS604" s="62"/>
      <c r="AT604" s="62"/>
      <c r="AU604" s="62"/>
      <c r="AV604" s="62"/>
      <c r="AW604" s="62"/>
      <c r="AX604" s="62"/>
      <c r="AY604" s="62"/>
      <c r="AZ604" s="62"/>
      <c r="BA604" s="62"/>
      <c r="BB604" s="62"/>
      <c r="BC604" s="62"/>
      <c r="BD604" s="62"/>
      <c r="BE604" s="62"/>
      <c r="BF604" s="62"/>
      <c r="BG604" s="62"/>
      <c r="BH604" s="62"/>
      <c r="BI604" s="62"/>
      <c r="BJ604" s="62"/>
      <c r="BK604" s="62"/>
      <c r="BL604" s="62"/>
      <c r="BM604" s="62"/>
      <c r="BN604" s="62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62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62"/>
      <c r="AF605" s="62"/>
      <c r="AG605" s="62"/>
      <c r="AH605" s="62"/>
      <c r="AI605" s="62"/>
      <c r="AJ605" s="62"/>
      <c r="AK605" s="62"/>
      <c r="AL605" s="62"/>
      <c r="AM605" s="62"/>
      <c r="AN605" s="62"/>
      <c r="AO605" s="62"/>
      <c r="AP605" s="62"/>
      <c r="AQ605" s="62"/>
      <c r="AR605" s="62"/>
      <c r="AS605" s="62"/>
      <c r="AT605" s="62"/>
      <c r="AU605" s="62"/>
      <c r="AV605" s="62"/>
      <c r="AW605" s="62"/>
      <c r="AX605" s="62"/>
      <c r="AY605" s="62"/>
      <c r="AZ605" s="62"/>
      <c r="BA605" s="62"/>
      <c r="BB605" s="62"/>
      <c r="BC605" s="62"/>
      <c r="BD605" s="62"/>
      <c r="BE605" s="62"/>
      <c r="BF605" s="62"/>
      <c r="BG605" s="62"/>
      <c r="BH605" s="62"/>
      <c r="BI605" s="62"/>
      <c r="BJ605" s="62"/>
      <c r="BK605" s="62"/>
      <c r="BL605" s="62"/>
      <c r="BM605" s="62"/>
      <c r="BN605" s="62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62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62"/>
      <c r="AF606" s="62"/>
      <c r="AG606" s="62"/>
      <c r="AH606" s="62"/>
      <c r="AI606" s="62"/>
      <c r="AJ606" s="62"/>
      <c r="AK606" s="62"/>
      <c r="AL606" s="62"/>
      <c r="AM606" s="62"/>
      <c r="AN606" s="62"/>
      <c r="AO606" s="62"/>
      <c r="AP606" s="62"/>
      <c r="AQ606" s="62"/>
      <c r="AR606" s="62"/>
      <c r="AS606" s="62"/>
      <c r="AT606" s="62"/>
      <c r="AU606" s="62"/>
      <c r="AV606" s="62"/>
      <c r="AW606" s="62"/>
      <c r="AX606" s="62"/>
      <c r="AY606" s="62"/>
      <c r="AZ606" s="62"/>
      <c r="BA606" s="62"/>
      <c r="BB606" s="62"/>
      <c r="BC606" s="62"/>
      <c r="BD606" s="62"/>
      <c r="BE606" s="62"/>
      <c r="BF606" s="62"/>
      <c r="BG606" s="62"/>
      <c r="BH606" s="62"/>
      <c r="BI606" s="62"/>
      <c r="BJ606" s="62"/>
      <c r="BK606" s="62"/>
      <c r="BL606" s="62"/>
      <c r="BM606" s="62"/>
      <c r="BN606" s="62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62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62"/>
      <c r="AF607" s="62"/>
      <c r="AG607" s="62"/>
      <c r="AH607" s="62"/>
      <c r="AI607" s="62"/>
      <c r="AJ607" s="62"/>
      <c r="AK607" s="62"/>
      <c r="AL607" s="62"/>
      <c r="AM607" s="62"/>
      <c r="AN607" s="62"/>
      <c r="AO607" s="62"/>
      <c r="AP607" s="62"/>
      <c r="AQ607" s="62"/>
      <c r="AR607" s="62"/>
      <c r="AS607" s="62"/>
      <c r="AT607" s="62"/>
      <c r="AU607" s="62"/>
      <c r="AV607" s="62"/>
      <c r="AW607" s="62"/>
      <c r="AX607" s="62"/>
      <c r="AY607" s="62"/>
      <c r="AZ607" s="62"/>
      <c r="BA607" s="62"/>
      <c r="BB607" s="62"/>
      <c r="BC607" s="62"/>
      <c r="BD607" s="62"/>
      <c r="BE607" s="62"/>
      <c r="BF607" s="62"/>
      <c r="BG607" s="62"/>
      <c r="BH607" s="62"/>
      <c r="BI607" s="62"/>
      <c r="BJ607" s="62"/>
      <c r="BK607" s="62"/>
      <c r="BL607" s="62"/>
      <c r="BM607" s="62"/>
      <c r="BN607" s="62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62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62"/>
      <c r="AF608" s="62"/>
      <c r="AG608" s="62"/>
      <c r="AH608" s="62"/>
      <c r="AI608" s="62"/>
      <c r="AJ608" s="62"/>
      <c r="AK608" s="62"/>
      <c r="AL608" s="62"/>
      <c r="AM608" s="62"/>
      <c r="AN608" s="62"/>
      <c r="AO608" s="62"/>
      <c r="AP608" s="62"/>
      <c r="AQ608" s="62"/>
      <c r="AR608" s="62"/>
      <c r="AS608" s="62"/>
      <c r="AT608" s="62"/>
      <c r="AU608" s="62"/>
      <c r="AV608" s="62"/>
      <c r="AW608" s="62"/>
      <c r="AX608" s="62"/>
      <c r="AY608" s="62"/>
      <c r="AZ608" s="62"/>
      <c r="BA608" s="62"/>
      <c r="BB608" s="62"/>
      <c r="BC608" s="62"/>
      <c r="BD608" s="62"/>
      <c r="BE608" s="62"/>
      <c r="BF608" s="62"/>
      <c r="BG608" s="62"/>
      <c r="BH608" s="62"/>
      <c r="BI608" s="62"/>
      <c r="BJ608" s="62"/>
      <c r="BK608" s="62"/>
      <c r="BL608" s="62"/>
      <c r="BM608" s="62"/>
      <c r="BN608" s="62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62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62"/>
      <c r="AF609" s="62"/>
      <c r="AG609" s="62"/>
      <c r="AH609" s="62"/>
      <c r="AI609" s="62"/>
      <c r="AJ609" s="62"/>
      <c r="AK609" s="62"/>
      <c r="AL609" s="62"/>
      <c r="AM609" s="62"/>
      <c r="AN609" s="62"/>
      <c r="AO609" s="62"/>
      <c r="AP609" s="62"/>
      <c r="AQ609" s="62"/>
      <c r="AR609" s="62"/>
      <c r="AS609" s="62"/>
      <c r="AT609" s="62"/>
      <c r="AU609" s="62"/>
      <c r="AV609" s="62"/>
      <c r="AW609" s="62"/>
      <c r="AX609" s="62"/>
      <c r="AY609" s="62"/>
      <c r="AZ609" s="62"/>
      <c r="BA609" s="62"/>
      <c r="BB609" s="62"/>
      <c r="BC609" s="62"/>
      <c r="BD609" s="62"/>
      <c r="BE609" s="62"/>
      <c r="BF609" s="62"/>
      <c r="BG609" s="62"/>
      <c r="BH609" s="62"/>
      <c r="BI609" s="62"/>
      <c r="BJ609" s="62"/>
      <c r="BK609" s="62"/>
      <c r="BL609" s="62"/>
      <c r="BM609" s="62"/>
      <c r="BN609" s="62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62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62"/>
      <c r="AF610" s="62"/>
      <c r="AG610" s="62"/>
      <c r="AH610" s="62"/>
      <c r="AI610" s="62"/>
      <c r="AJ610" s="62"/>
      <c r="AK610" s="62"/>
      <c r="AL610" s="62"/>
      <c r="AM610" s="62"/>
      <c r="AN610" s="62"/>
      <c r="AO610" s="62"/>
      <c r="AP610" s="62"/>
      <c r="AQ610" s="62"/>
      <c r="AR610" s="62"/>
      <c r="AS610" s="62"/>
      <c r="AT610" s="62"/>
      <c r="AU610" s="62"/>
      <c r="AV610" s="62"/>
      <c r="AW610" s="62"/>
      <c r="AX610" s="62"/>
      <c r="AY610" s="62"/>
      <c r="AZ610" s="62"/>
      <c r="BA610" s="62"/>
      <c r="BB610" s="62"/>
      <c r="BC610" s="62"/>
      <c r="BD610" s="62"/>
      <c r="BE610" s="62"/>
      <c r="BF610" s="62"/>
      <c r="BG610" s="62"/>
      <c r="BH610" s="62"/>
      <c r="BI610" s="62"/>
      <c r="BJ610" s="62"/>
      <c r="BK610" s="62"/>
      <c r="BL610" s="62"/>
      <c r="BM610" s="62"/>
      <c r="BN610" s="62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62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62"/>
      <c r="AF611" s="62"/>
      <c r="AG611" s="62"/>
      <c r="AH611" s="62"/>
      <c r="AI611" s="62"/>
      <c r="AJ611" s="62"/>
      <c r="AK611" s="62"/>
      <c r="AL611" s="62"/>
      <c r="AM611" s="62"/>
      <c r="AN611" s="62"/>
      <c r="AO611" s="62"/>
      <c r="AP611" s="62"/>
      <c r="AQ611" s="62"/>
      <c r="AR611" s="62"/>
      <c r="AS611" s="62"/>
      <c r="AT611" s="62"/>
      <c r="AU611" s="62"/>
      <c r="AV611" s="62"/>
      <c r="AW611" s="62"/>
      <c r="AX611" s="62"/>
      <c r="AY611" s="62"/>
      <c r="AZ611" s="62"/>
      <c r="BA611" s="62"/>
      <c r="BB611" s="62"/>
      <c r="BC611" s="62"/>
      <c r="BD611" s="62"/>
      <c r="BE611" s="62"/>
      <c r="BF611" s="62"/>
      <c r="BG611" s="62"/>
      <c r="BH611" s="62"/>
      <c r="BI611" s="62"/>
      <c r="BJ611" s="62"/>
      <c r="BK611" s="62"/>
      <c r="BL611" s="62"/>
      <c r="BM611" s="62"/>
      <c r="BN611" s="62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62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62"/>
      <c r="AF612" s="62"/>
      <c r="AG612" s="62"/>
      <c r="AH612" s="62"/>
      <c r="AI612" s="62"/>
      <c r="AJ612" s="62"/>
      <c r="AK612" s="62"/>
      <c r="AL612" s="62"/>
      <c r="AM612" s="62"/>
      <c r="AN612" s="62"/>
      <c r="AO612" s="62"/>
      <c r="AP612" s="62"/>
      <c r="AQ612" s="62"/>
      <c r="AR612" s="62"/>
      <c r="AS612" s="62"/>
      <c r="AT612" s="62"/>
      <c r="AU612" s="62"/>
      <c r="AV612" s="62"/>
      <c r="AW612" s="62"/>
      <c r="AX612" s="62"/>
      <c r="AY612" s="62"/>
      <c r="AZ612" s="62"/>
      <c r="BA612" s="62"/>
      <c r="BB612" s="62"/>
      <c r="BC612" s="62"/>
      <c r="BD612" s="62"/>
      <c r="BE612" s="62"/>
      <c r="BF612" s="62"/>
      <c r="BG612" s="62"/>
      <c r="BH612" s="62"/>
      <c r="BI612" s="62"/>
      <c r="BJ612" s="62"/>
      <c r="BK612" s="62"/>
      <c r="BL612" s="62"/>
      <c r="BM612" s="62"/>
      <c r="BN612" s="62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62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62"/>
      <c r="AF613" s="62"/>
      <c r="AG613" s="62"/>
      <c r="AH613" s="62"/>
      <c r="AI613" s="62"/>
      <c r="AJ613" s="62"/>
      <c r="AK613" s="62"/>
      <c r="AL613" s="62"/>
      <c r="AM613" s="62"/>
      <c r="AN613" s="62"/>
      <c r="AO613" s="62"/>
      <c r="AP613" s="62"/>
      <c r="AQ613" s="62"/>
      <c r="AR613" s="62"/>
      <c r="AS613" s="62"/>
      <c r="AT613" s="62"/>
      <c r="AU613" s="62"/>
      <c r="AV613" s="62"/>
      <c r="AW613" s="62"/>
      <c r="AX613" s="62"/>
      <c r="AY613" s="62"/>
      <c r="AZ613" s="62"/>
      <c r="BA613" s="62"/>
      <c r="BB613" s="62"/>
      <c r="BC613" s="62"/>
      <c r="BD613" s="62"/>
      <c r="BE613" s="62"/>
      <c r="BF613" s="62"/>
      <c r="BG613" s="62"/>
      <c r="BH613" s="62"/>
      <c r="BI613" s="62"/>
      <c r="BJ613" s="62"/>
      <c r="BK613" s="62"/>
      <c r="BL613" s="62"/>
      <c r="BM613" s="62"/>
      <c r="BN613" s="62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62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/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2"/>
      <c r="BJ614" s="62"/>
      <c r="BK614" s="62"/>
      <c r="BL614" s="62"/>
      <c r="BM614" s="62"/>
      <c r="BN614" s="62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62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2"/>
      <c r="BJ615" s="62"/>
      <c r="BK615" s="62"/>
      <c r="BL615" s="62"/>
      <c r="BM615" s="62"/>
      <c r="BN615" s="62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62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62"/>
      <c r="AF616" s="62"/>
      <c r="AG616" s="62"/>
      <c r="AH616" s="62"/>
      <c r="AI616" s="62"/>
      <c r="AJ616" s="62"/>
      <c r="AK616" s="62"/>
      <c r="AL616" s="62"/>
      <c r="AM616" s="62"/>
      <c r="AN616" s="62"/>
      <c r="AO616" s="62"/>
      <c r="AP616" s="62"/>
      <c r="AQ616" s="62"/>
      <c r="AR616" s="62"/>
      <c r="AS616" s="62"/>
      <c r="AT616" s="62"/>
      <c r="AU616" s="62"/>
      <c r="AV616" s="62"/>
      <c r="AW616" s="62"/>
      <c r="AX616" s="62"/>
      <c r="AY616" s="62"/>
      <c r="AZ616" s="62"/>
      <c r="BA616" s="62"/>
      <c r="BB616" s="62"/>
      <c r="BC616" s="62"/>
      <c r="BD616" s="62"/>
      <c r="BE616" s="62"/>
      <c r="BF616" s="62"/>
      <c r="BG616" s="62"/>
      <c r="BH616" s="62"/>
      <c r="BI616" s="62"/>
      <c r="BJ616" s="62"/>
      <c r="BK616" s="62"/>
      <c r="BL616" s="62"/>
      <c r="BM616" s="62"/>
      <c r="BN616" s="62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62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62"/>
      <c r="AF617" s="62"/>
      <c r="AG617" s="62"/>
      <c r="AH617" s="62"/>
      <c r="AI617" s="62"/>
      <c r="AJ617" s="62"/>
      <c r="AK617" s="62"/>
      <c r="AL617" s="62"/>
      <c r="AM617" s="62"/>
      <c r="AN617" s="62"/>
      <c r="AO617" s="62"/>
      <c r="AP617" s="62"/>
      <c r="AQ617" s="62"/>
      <c r="AR617" s="62"/>
      <c r="AS617" s="62"/>
      <c r="AT617" s="62"/>
      <c r="AU617" s="62"/>
      <c r="AV617" s="62"/>
      <c r="AW617" s="62"/>
      <c r="AX617" s="62"/>
      <c r="AY617" s="62"/>
      <c r="AZ617" s="62"/>
      <c r="BA617" s="62"/>
      <c r="BB617" s="62"/>
      <c r="BC617" s="62"/>
      <c r="BD617" s="62"/>
      <c r="BE617" s="62"/>
      <c r="BF617" s="62"/>
      <c r="BG617" s="62"/>
      <c r="BH617" s="62"/>
      <c r="BI617" s="62"/>
      <c r="BJ617" s="62"/>
      <c r="BK617" s="62"/>
      <c r="BL617" s="62"/>
      <c r="BM617" s="62"/>
      <c r="BN617" s="62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62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62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62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62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62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62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62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62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62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62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62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62"/>
      <c r="AF628" s="62"/>
      <c r="AG628" s="62"/>
      <c r="AH628" s="62"/>
      <c r="AI628" s="62"/>
      <c r="AJ628" s="62"/>
      <c r="AK628" s="62"/>
      <c r="AL628" s="62"/>
      <c r="AM628" s="62"/>
      <c r="AN628" s="62"/>
      <c r="AO628" s="62"/>
      <c r="AP628" s="62"/>
      <c r="AQ628" s="62"/>
      <c r="AR628" s="62"/>
      <c r="AS628" s="62"/>
      <c r="AT628" s="62"/>
      <c r="AU628" s="62"/>
      <c r="AV628" s="62"/>
      <c r="AW628" s="62"/>
      <c r="AX628" s="62"/>
      <c r="AY628" s="62"/>
      <c r="AZ628" s="62"/>
      <c r="BA628" s="62"/>
      <c r="BB628" s="62"/>
      <c r="BC628" s="62"/>
      <c r="BD628" s="62"/>
      <c r="BE628" s="62"/>
      <c r="BF628" s="62"/>
      <c r="BG628" s="62"/>
      <c r="BH628" s="62"/>
      <c r="BI628" s="62"/>
      <c r="BJ628" s="62"/>
      <c r="BK628" s="62"/>
      <c r="BL628" s="62"/>
      <c r="BM628" s="62"/>
      <c r="BN628" s="62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62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62"/>
      <c r="AF629" s="62"/>
      <c r="AG629" s="62"/>
      <c r="AH629" s="62"/>
      <c r="AI629" s="62"/>
      <c r="AJ629" s="62"/>
      <c r="AK629" s="62"/>
      <c r="AL629" s="62"/>
      <c r="AM629" s="62"/>
      <c r="AN629" s="62"/>
      <c r="AO629" s="62"/>
      <c r="AP629" s="62"/>
      <c r="AQ629" s="62"/>
      <c r="AR629" s="62"/>
      <c r="AS629" s="62"/>
      <c r="AT629" s="62"/>
      <c r="AU629" s="62"/>
      <c r="AV629" s="62"/>
      <c r="AW629" s="62"/>
      <c r="AX629" s="62"/>
      <c r="AY629" s="62"/>
      <c r="AZ629" s="62"/>
      <c r="BA629" s="62"/>
      <c r="BB629" s="62"/>
      <c r="BC629" s="62"/>
      <c r="BD629" s="62"/>
      <c r="BE629" s="62"/>
      <c r="BF629" s="62"/>
      <c r="BG629" s="62"/>
      <c r="BH629" s="62"/>
      <c r="BI629" s="62"/>
      <c r="BJ629" s="62"/>
      <c r="BK629" s="62"/>
      <c r="BL629" s="62"/>
      <c r="BM629" s="62"/>
      <c r="BN629" s="62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62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62"/>
      <c r="AF630" s="62"/>
      <c r="AG630" s="62"/>
      <c r="AH630" s="62"/>
      <c r="AI630" s="62"/>
      <c r="AJ630" s="62"/>
      <c r="AK630" s="62"/>
      <c r="AL630" s="62"/>
      <c r="AM630" s="62"/>
      <c r="AN630" s="62"/>
      <c r="AO630" s="62"/>
      <c r="AP630" s="62"/>
      <c r="AQ630" s="62"/>
      <c r="AR630" s="62"/>
      <c r="AS630" s="62"/>
      <c r="AT630" s="62"/>
      <c r="AU630" s="62"/>
      <c r="AV630" s="62"/>
      <c r="AW630" s="62"/>
      <c r="AX630" s="62"/>
      <c r="AY630" s="62"/>
      <c r="AZ630" s="62"/>
      <c r="BA630" s="62"/>
      <c r="BB630" s="62"/>
      <c r="BC630" s="62"/>
      <c r="BD630" s="62"/>
      <c r="BE630" s="62"/>
      <c r="BF630" s="62"/>
      <c r="BG630" s="62"/>
      <c r="BH630" s="62"/>
      <c r="BI630" s="62"/>
      <c r="BJ630" s="62"/>
      <c r="BK630" s="62"/>
      <c r="BL630" s="62"/>
      <c r="BM630" s="62"/>
      <c r="BN630" s="62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62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62"/>
      <c r="AF631" s="62"/>
      <c r="AG631" s="62"/>
      <c r="AH631" s="62"/>
      <c r="AI631" s="62"/>
      <c r="AJ631" s="62"/>
      <c r="AK631" s="62"/>
      <c r="AL631" s="62"/>
      <c r="AM631" s="62"/>
      <c r="AN631" s="62"/>
      <c r="AO631" s="62"/>
      <c r="AP631" s="62"/>
      <c r="AQ631" s="62"/>
      <c r="AR631" s="62"/>
      <c r="AS631" s="62"/>
      <c r="AT631" s="62"/>
      <c r="AU631" s="62"/>
      <c r="AV631" s="62"/>
      <c r="AW631" s="62"/>
      <c r="AX631" s="62"/>
      <c r="AY631" s="62"/>
      <c r="AZ631" s="62"/>
      <c r="BA631" s="62"/>
      <c r="BB631" s="62"/>
      <c r="BC631" s="62"/>
      <c r="BD631" s="62"/>
      <c r="BE631" s="62"/>
      <c r="BF631" s="62"/>
      <c r="BG631" s="62"/>
      <c r="BH631" s="62"/>
      <c r="BI631" s="62"/>
      <c r="BJ631" s="62"/>
      <c r="BK631" s="62"/>
      <c r="BL631" s="62"/>
      <c r="BM631" s="62"/>
      <c r="BN631" s="62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62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62"/>
      <c r="AF632" s="62"/>
      <c r="AG632" s="62"/>
      <c r="AH632" s="62"/>
      <c r="AI632" s="62"/>
      <c r="AJ632" s="62"/>
      <c r="AK632" s="62"/>
      <c r="AL632" s="62"/>
      <c r="AM632" s="62"/>
      <c r="AN632" s="62"/>
      <c r="AO632" s="62"/>
      <c r="AP632" s="62"/>
      <c r="AQ632" s="62"/>
      <c r="AR632" s="62"/>
      <c r="AS632" s="62"/>
      <c r="AT632" s="62"/>
      <c r="AU632" s="62"/>
      <c r="AV632" s="62"/>
      <c r="AW632" s="62"/>
      <c r="AX632" s="62"/>
      <c r="AY632" s="62"/>
      <c r="AZ632" s="62"/>
      <c r="BA632" s="62"/>
      <c r="BB632" s="62"/>
      <c r="BC632" s="62"/>
      <c r="BD632" s="62"/>
      <c r="BE632" s="62"/>
      <c r="BF632" s="62"/>
      <c r="BG632" s="62"/>
      <c r="BH632" s="62"/>
      <c r="BI632" s="62"/>
      <c r="BJ632" s="62"/>
      <c r="BK632" s="62"/>
      <c r="BL632" s="62"/>
      <c r="BM632" s="62"/>
      <c r="BN632" s="62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62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62"/>
      <c r="AF633" s="62"/>
      <c r="AG633" s="62"/>
      <c r="AH633" s="62"/>
      <c r="AI633" s="62"/>
      <c r="AJ633" s="62"/>
      <c r="AK633" s="62"/>
      <c r="AL633" s="62"/>
      <c r="AM633" s="62"/>
      <c r="AN633" s="62"/>
      <c r="AO633" s="62"/>
      <c r="AP633" s="62"/>
      <c r="AQ633" s="62"/>
      <c r="AR633" s="62"/>
      <c r="AS633" s="62"/>
      <c r="AT633" s="62"/>
      <c r="AU633" s="62"/>
      <c r="AV633" s="62"/>
      <c r="AW633" s="62"/>
      <c r="AX633" s="62"/>
      <c r="AY633" s="62"/>
      <c r="AZ633" s="62"/>
      <c r="BA633" s="62"/>
      <c r="BB633" s="62"/>
      <c r="BC633" s="62"/>
      <c r="BD633" s="62"/>
      <c r="BE633" s="62"/>
      <c r="BF633" s="62"/>
      <c r="BG633" s="62"/>
      <c r="BH633" s="62"/>
      <c r="BI633" s="62"/>
      <c r="BJ633" s="62"/>
      <c r="BK633" s="62"/>
      <c r="BL633" s="62"/>
      <c r="BM633" s="62"/>
      <c r="BN633" s="62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62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62"/>
      <c r="AF634" s="62"/>
      <c r="AG634" s="62"/>
      <c r="AH634" s="62"/>
      <c r="AI634" s="62"/>
      <c r="AJ634" s="62"/>
      <c r="AK634" s="62"/>
      <c r="AL634" s="62"/>
      <c r="AM634" s="62"/>
      <c r="AN634" s="62"/>
      <c r="AO634" s="62"/>
      <c r="AP634" s="62"/>
      <c r="AQ634" s="62"/>
      <c r="AR634" s="62"/>
      <c r="AS634" s="62"/>
      <c r="AT634" s="62"/>
      <c r="AU634" s="62"/>
      <c r="AV634" s="62"/>
      <c r="AW634" s="62"/>
      <c r="AX634" s="62"/>
      <c r="AY634" s="62"/>
      <c r="AZ634" s="62"/>
      <c r="BA634" s="62"/>
      <c r="BB634" s="62"/>
      <c r="BC634" s="62"/>
      <c r="BD634" s="62"/>
      <c r="BE634" s="62"/>
      <c r="BF634" s="62"/>
      <c r="BG634" s="62"/>
      <c r="BH634" s="62"/>
      <c r="BI634" s="62"/>
      <c r="BJ634" s="62"/>
      <c r="BK634" s="62"/>
      <c r="BL634" s="62"/>
      <c r="BM634" s="62"/>
      <c r="BN634" s="62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62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62"/>
      <c r="AF635" s="62"/>
      <c r="AG635" s="62"/>
      <c r="AH635" s="62"/>
      <c r="AI635" s="62"/>
      <c r="AJ635" s="62"/>
      <c r="AK635" s="62"/>
      <c r="AL635" s="62"/>
      <c r="AM635" s="62"/>
      <c r="AN635" s="62"/>
      <c r="AO635" s="62"/>
      <c r="AP635" s="62"/>
      <c r="AQ635" s="62"/>
      <c r="AR635" s="62"/>
      <c r="AS635" s="62"/>
      <c r="AT635" s="62"/>
      <c r="AU635" s="62"/>
      <c r="AV635" s="62"/>
      <c r="AW635" s="62"/>
      <c r="AX635" s="62"/>
      <c r="AY635" s="62"/>
      <c r="AZ635" s="62"/>
      <c r="BA635" s="62"/>
      <c r="BB635" s="62"/>
      <c r="BC635" s="62"/>
      <c r="BD635" s="62"/>
      <c r="BE635" s="62"/>
      <c r="BF635" s="62"/>
      <c r="BG635" s="62"/>
      <c r="BH635" s="62"/>
      <c r="BI635" s="62"/>
      <c r="BJ635" s="62"/>
      <c r="BK635" s="62"/>
      <c r="BL635" s="62"/>
      <c r="BM635" s="62"/>
      <c r="BN635" s="62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62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62"/>
      <c r="AF636" s="62"/>
      <c r="AG636" s="62"/>
      <c r="AH636" s="62"/>
      <c r="AI636" s="62"/>
      <c r="AJ636" s="62"/>
      <c r="AK636" s="62"/>
      <c r="AL636" s="62"/>
      <c r="AM636" s="62"/>
      <c r="AN636" s="62"/>
      <c r="AO636" s="62"/>
      <c r="AP636" s="62"/>
      <c r="AQ636" s="62"/>
      <c r="AR636" s="62"/>
      <c r="AS636" s="62"/>
      <c r="AT636" s="62"/>
      <c r="AU636" s="62"/>
      <c r="AV636" s="62"/>
      <c r="AW636" s="62"/>
      <c r="AX636" s="62"/>
      <c r="AY636" s="62"/>
      <c r="AZ636" s="62"/>
      <c r="BA636" s="62"/>
      <c r="BB636" s="62"/>
      <c r="BC636" s="62"/>
      <c r="BD636" s="62"/>
      <c r="BE636" s="62"/>
      <c r="BF636" s="62"/>
      <c r="BG636" s="62"/>
      <c r="BH636" s="62"/>
      <c r="BI636" s="62"/>
      <c r="BJ636" s="62"/>
      <c r="BK636" s="62"/>
      <c r="BL636" s="62"/>
      <c r="BM636" s="62"/>
      <c r="BN636" s="62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62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62"/>
      <c r="AF637" s="62"/>
      <c r="AG637" s="62"/>
      <c r="AH637" s="62"/>
      <c r="AI637" s="62"/>
      <c r="AJ637" s="62"/>
      <c r="AK637" s="62"/>
      <c r="AL637" s="62"/>
      <c r="AM637" s="62"/>
      <c r="AN637" s="62"/>
      <c r="AO637" s="62"/>
      <c r="AP637" s="62"/>
      <c r="AQ637" s="62"/>
      <c r="AR637" s="62"/>
      <c r="AS637" s="62"/>
      <c r="AT637" s="62"/>
      <c r="AU637" s="62"/>
      <c r="AV637" s="62"/>
      <c r="AW637" s="62"/>
      <c r="AX637" s="62"/>
      <c r="AY637" s="62"/>
      <c r="AZ637" s="62"/>
      <c r="BA637" s="62"/>
      <c r="BB637" s="62"/>
      <c r="BC637" s="62"/>
      <c r="BD637" s="62"/>
      <c r="BE637" s="62"/>
      <c r="BF637" s="62"/>
      <c r="BG637" s="62"/>
      <c r="BH637" s="62"/>
      <c r="BI637" s="62"/>
      <c r="BJ637" s="62"/>
      <c r="BK637" s="62"/>
      <c r="BL637" s="62"/>
      <c r="BM637" s="62"/>
      <c r="BN637" s="62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62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62"/>
      <c r="AF638" s="62"/>
      <c r="AG638" s="62"/>
      <c r="AH638" s="62"/>
      <c r="AI638" s="62"/>
      <c r="AJ638" s="62"/>
      <c r="AK638" s="62"/>
      <c r="AL638" s="62"/>
      <c r="AM638" s="62"/>
      <c r="AN638" s="62"/>
      <c r="AO638" s="62"/>
      <c r="AP638" s="62"/>
      <c r="AQ638" s="62"/>
      <c r="AR638" s="62"/>
      <c r="AS638" s="62"/>
      <c r="AT638" s="62"/>
      <c r="AU638" s="62"/>
      <c r="AV638" s="62"/>
      <c r="AW638" s="62"/>
      <c r="AX638" s="62"/>
      <c r="AY638" s="62"/>
      <c r="AZ638" s="62"/>
      <c r="BA638" s="62"/>
      <c r="BB638" s="62"/>
      <c r="BC638" s="62"/>
      <c r="BD638" s="62"/>
      <c r="BE638" s="62"/>
      <c r="BF638" s="62"/>
      <c r="BG638" s="62"/>
      <c r="BH638" s="62"/>
      <c r="BI638" s="62"/>
      <c r="BJ638" s="62"/>
      <c r="BK638" s="62"/>
      <c r="BL638" s="62"/>
      <c r="BM638" s="62"/>
      <c r="BN638" s="62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62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62"/>
      <c r="AF639" s="62"/>
      <c r="AG639" s="62"/>
      <c r="AH639" s="62"/>
      <c r="AI639" s="62"/>
      <c r="AJ639" s="62"/>
      <c r="AK639" s="62"/>
      <c r="AL639" s="62"/>
      <c r="AM639" s="62"/>
      <c r="AN639" s="62"/>
      <c r="AO639" s="62"/>
      <c r="AP639" s="62"/>
      <c r="AQ639" s="62"/>
      <c r="AR639" s="62"/>
      <c r="AS639" s="62"/>
      <c r="AT639" s="62"/>
      <c r="AU639" s="62"/>
      <c r="AV639" s="62"/>
      <c r="AW639" s="62"/>
      <c r="AX639" s="62"/>
      <c r="AY639" s="62"/>
      <c r="AZ639" s="62"/>
      <c r="BA639" s="62"/>
      <c r="BB639" s="62"/>
      <c r="BC639" s="62"/>
      <c r="BD639" s="62"/>
      <c r="BE639" s="62"/>
      <c r="BF639" s="62"/>
      <c r="BG639" s="62"/>
      <c r="BH639" s="62"/>
      <c r="BI639" s="62"/>
      <c r="BJ639" s="62"/>
      <c r="BK639" s="62"/>
      <c r="BL639" s="62"/>
      <c r="BM639" s="62"/>
      <c r="BN639" s="62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62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62"/>
      <c r="AF640" s="62"/>
      <c r="AG640" s="62"/>
      <c r="AH640" s="62"/>
      <c r="AI640" s="62"/>
      <c r="AJ640" s="62"/>
      <c r="AK640" s="62"/>
      <c r="AL640" s="62"/>
      <c r="AM640" s="62"/>
      <c r="AN640" s="62"/>
      <c r="AO640" s="62"/>
      <c r="AP640" s="62"/>
      <c r="AQ640" s="62"/>
      <c r="AR640" s="62"/>
      <c r="AS640" s="62"/>
      <c r="AT640" s="62"/>
      <c r="AU640" s="62"/>
      <c r="AV640" s="62"/>
      <c r="AW640" s="62"/>
      <c r="AX640" s="62"/>
      <c r="AY640" s="62"/>
      <c r="AZ640" s="62"/>
      <c r="BA640" s="62"/>
      <c r="BB640" s="62"/>
      <c r="BC640" s="62"/>
      <c r="BD640" s="62"/>
      <c r="BE640" s="62"/>
      <c r="BF640" s="62"/>
      <c r="BG640" s="62"/>
      <c r="BH640" s="62"/>
      <c r="BI640" s="62"/>
      <c r="BJ640" s="62"/>
      <c r="BK640" s="62"/>
      <c r="BL640" s="62"/>
      <c r="BM640" s="62"/>
      <c r="BN640" s="62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62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62"/>
      <c r="AF641" s="62"/>
      <c r="AG641" s="62"/>
      <c r="AH641" s="62"/>
      <c r="AI641" s="62"/>
      <c r="AJ641" s="62"/>
      <c r="AK641" s="62"/>
      <c r="AL641" s="62"/>
      <c r="AM641" s="62"/>
      <c r="AN641" s="62"/>
      <c r="AO641" s="62"/>
      <c r="AP641" s="62"/>
      <c r="AQ641" s="62"/>
      <c r="AR641" s="62"/>
      <c r="AS641" s="62"/>
      <c r="AT641" s="62"/>
      <c r="AU641" s="62"/>
      <c r="AV641" s="62"/>
      <c r="AW641" s="62"/>
      <c r="AX641" s="62"/>
      <c r="AY641" s="62"/>
      <c r="AZ641" s="62"/>
      <c r="BA641" s="62"/>
      <c r="BB641" s="62"/>
      <c r="BC641" s="62"/>
      <c r="BD641" s="62"/>
      <c r="BE641" s="62"/>
      <c r="BF641" s="62"/>
      <c r="BG641" s="62"/>
      <c r="BH641" s="62"/>
      <c r="BI641" s="62"/>
      <c r="BJ641" s="62"/>
      <c r="BK641" s="62"/>
      <c r="BL641" s="62"/>
      <c r="BM641" s="62"/>
      <c r="BN641" s="62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62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62"/>
      <c r="AF642" s="62"/>
      <c r="AG642" s="62"/>
      <c r="AH642" s="62"/>
      <c r="AI642" s="62"/>
      <c r="AJ642" s="62"/>
      <c r="AK642" s="62"/>
      <c r="AL642" s="62"/>
      <c r="AM642" s="62"/>
      <c r="AN642" s="62"/>
      <c r="AO642" s="62"/>
      <c r="AP642" s="62"/>
      <c r="AQ642" s="62"/>
      <c r="AR642" s="62"/>
      <c r="AS642" s="62"/>
      <c r="AT642" s="62"/>
      <c r="AU642" s="62"/>
      <c r="AV642" s="62"/>
      <c r="AW642" s="62"/>
      <c r="AX642" s="62"/>
      <c r="AY642" s="62"/>
      <c r="AZ642" s="62"/>
      <c r="BA642" s="62"/>
      <c r="BB642" s="62"/>
      <c r="BC642" s="62"/>
      <c r="BD642" s="62"/>
      <c r="BE642" s="62"/>
      <c r="BF642" s="62"/>
      <c r="BG642" s="62"/>
      <c r="BH642" s="62"/>
      <c r="BI642" s="62"/>
      <c r="BJ642" s="62"/>
      <c r="BK642" s="62"/>
      <c r="BL642" s="62"/>
      <c r="BM642" s="62"/>
      <c r="BN642" s="62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62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62"/>
      <c r="AF643" s="62"/>
      <c r="AG643" s="62"/>
      <c r="AH643" s="62"/>
      <c r="AI643" s="62"/>
      <c r="AJ643" s="62"/>
      <c r="AK643" s="62"/>
      <c r="AL643" s="62"/>
      <c r="AM643" s="62"/>
      <c r="AN643" s="62"/>
      <c r="AO643" s="62"/>
      <c r="AP643" s="62"/>
      <c r="AQ643" s="62"/>
      <c r="AR643" s="62"/>
      <c r="AS643" s="62"/>
      <c r="AT643" s="62"/>
      <c r="AU643" s="62"/>
      <c r="AV643" s="62"/>
      <c r="AW643" s="62"/>
      <c r="AX643" s="62"/>
      <c r="AY643" s="62"/>
      <c r="AZ643" s="62"/>
      <c r="BA643" s="62"/>
      <c r="BB643" s="62"/>
      <c r="BC643" s="62"/>
      <c r="BD643" s="62"/>
      <c r="BE643" s="62"/>
      <c r="BF643" s="62"/>
      <c r="BG643" s="62"/>
      <c r="BH643" s="62"/>
      <c r="BI643" s="62"/>
      <c r="BJ643" s="62"/>
      <c r="BK643" s="62"/>
      <c r="BL643" s="62"/>
      <c r="BM643" s="62"/>
      <c r="BN643" s="62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62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62"/>
      <c r="AF644" s="62"/>
      <c r="AG644" s="62"/>
      <c r="AH644" s="62"/>
      <c r="AI644" s="62"/>
      <c r="AJ644" s="62"/>
      <c r="AK644" s="62"/>
      <c r="AL644" s="62"/>
      <c r="AM644" s="62"/>
      <c r="AN644" s="62"/>
      <c r="AO644" s="62"/>
      <c r="AP644" s="62"/>
      <c r="AQ644" s="62"/>
      <c r="AR644" s="62"/>
      <c r="AS644" s="62"/>
      <c r="AT644" s="62"/>
      <c r="AU644" s="62"/>
      <c r="AV644" s="62"/>
      <c r="AW644" s="62"/>
      <c r="AX644" s="62"/>
      <c r="AY644" s="62"/>
      <c r="AZ644" s="62"/>
      <c r="BA644" s="62"/>
      <c r="BB644" s="62"/>
      <c r="BC644" s="62"/>
      <c r="BD644" s="62"/>
      <c r="BE644" s="62"/>
      <c r="BF644" s="62"/>
      <c r="BG644" s="62"/>
      <c r="BH644" s="62"/>
      <c r="BI644" s="62"/>
      <c r="BJ644" s="62"/>
      <c r="BK644" s="62"/>
      <c r="BL644" s="62"/>
      <c r="BM644" s="62"/>
      <c r="BN644" s="62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62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62"/>
      <c r="AF645" s="62"/>
      <c r="AG645" s="62"/>
      <c r="AH645" s="62"/>
      <c r="AI645" s="62"/>
      <c r="AJ645" s="62"/>
      <c r="AK645" s="62"/>
      <c r="AL645" s="62"/>
      <c r="AM645" s="62"/>
      <c r="AN645" s="62"/>
      <c r="AO645" s="62"/>
      <c r="AP645" s="62"/>
      <c r="AQ645" s="62"/>
      <c r="AR645" s="62"/>
      <c r="AS645" s="62"/>
      <c r="AT645" s="62"/>
      <c r="AU645" s="62"/>
      <c r="AV645" s="62"/>
      <c r="AW645" s="62"/>
      <c r="AX645" s="62"/>
      <c r="AY645" s="62"/>
      <c r="AZ645" s="62"/>
      <c r="BA645" s="62"/>
      <c r="BB645" s="62"/>
      <c r="BC645" s="62"/>
      <c r="BD645" s="62"/>
      <c r="BE645" s="62"/>
      <c r="BF645" s="62"/>
      <c r="BG645" s="62"/>
      <c r="BH645" s="62"/>
      <c r="BI645" s="62"/>
      <c r="BJ645" s="62"/>
      <c r="BK645" s="62"/>
      <c r="BL645" s="62"/>
      <c r="BM645" s="62"/>
      <c r="BN645" s="62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62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62"/>
      <c r="AF646" s="62"/>
      <c r="AG646" s="62"/>
      <c r="AH646" s="62"/>
      <c r="AI646" s="62"/>
      <c r="AJ646" s="62"/>
      <c r="AK646" s="62"/>
      <c r="AL646" s="62"/>
      <c r="AM646" s="62"/>
      <c r="AN646" s="62"/>
      <c r="AO646" s="62"/>
      <c r="AP646" s="62"/>
      <c r="AQ646" s="62"/>
      <c r="AR646" s="62"/>
      <c r="AS646" s="62"/>
      <c r="AT646" s="62"/>
      <c r="AU646" s="62"/>
      <c r="AV646" s="62"/>
      <c r="AW646" s="62"/>
      <c r="AX646" s="62"/>
      <c r="AY646" s="62"/>
      <c r="AZ646" s="62"/>
      <c r="BA646" s="62"/>
      <c r="BB646" s="62"/>
      <c r="BC646" s="62"/>
      <c r="BD646" s="62"/>
      <c r="BE646" s="62"/>
      <c r="BF646" s="62"/>
      <c r="BG646" s="62"/>
      <c r="BH646" s="62"/>
      <c r="BI646" s="62"/>
      <c r="BJ646" s="62"/>
      <c r="BK646" s="62"/>
      <c r="BL646" s="62"/>
      <c r="BM646" s="62"/>
      <c r="BN646" s="62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62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62"/>
      <c r="AF647" s="62"/>
      <c r="AG647" s="62"/>
      <c r="AH647" s="62"/>
      <c r="AI647" s="62"/>
      <c r="AJ647" s="62"/>
      <c r="AK647" s="62"/>
      <c r="AL647" s="62"/>
      <c r="AM647" s="62"/>
      <c r="AN647" s="62"/>
      <c r="AO647" s="62"/>
      <c r="AP647" s="62"/>
      <c r="AQ647" s="62"/>
      <c r="AR647" s="62"/>
      <c r="AS647" s="62"/>
      <c r="AT647" s="62"/>
      <c r="AU647" s="62"/>
      <c r="AV647" s="62"/>
      <c r="AW647" s="62"/>
      <c r="AX647" s="62"/>
      <c r="AY647" s="62"/>
      <c r="AZ647" s="62"/>
      <c r="BA647" s="62"/>
      <c r="BB647" s="62"/>
      <c r="BC647" s="62"/>
      <c r="BD647" s="62"/>
      <c r="BE647" s="62"/>
      <c r="BF647" s="62"/>
      <c r="BG647" s="62"/>
      <c r="BH647" s="62"/>
      <c r="BI647" s="62"/>
      <c r="BJ647" s="62"/>
      <c r="BK647" s="62"/>
      <c r="BL647" s="62"/>
      <c r="BM647" s="62"/>
      <c r="BN647" s="62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62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62"/>
      <c r="AF648" s="62"/>
      <c r="AG648" s="62"/>
      <c r="AH648" s="62"/>
      <c r="AI648" s="62"/>
      <c r="AJ648" s="62"/>
      <c r="AK648" s="62"/>
      <c r="AL648" s="62"/>
      <c r="AM648" s="62"/>
      <c r="AN648" s="62"/>
      <c r="AO648" s="62"/>
      <c r="AP648" s="62"/>
      <c r="AQ648" s="62"/>
      <c r="AR648" s="62"/>
      <c r="AS648" s="62"/>
      <c r="AT648" s="62"/>
      <c r="AU648" s="62"/>
      <c r="AV648" s="62"/>
      <c r="AW648" s="62"/>
      <c r="AX648" s="62"/>
      <c r="AY648" s="62"/>
      <c r="AZ648" s="62"/>
      <c r="BA648" s="62"/>
      <c r="BB648" s="62"/>
      <c r="BC648" s="62"/>
      <c r="BD648" s="62"/>
      <c r="BE648" s="62"/>
      <c r="BF648" s="62"/>
      <c r="BG648" s="62"/>
      <c r="BH648" s="62"/>
      <c r="BI648" s="62"/>
      <c r="BJ648" s="62"/>
      <c r="BK648" s="62"/>
      <c r="BL648" s="62"/>
      <c r="BM648" s="62"/>
      <c r="BN648" s="62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62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62"/>
      <c r="AF649" s="62"/>
      <c r="AG649" s="62"/>
      <c r="AH649" s="62"/>
      <c r="AI649" s="62"/>
      <c r="AJ649" s="62"/>
      <c r="AK649" s="62"/>
      <c r="AL649" s="62"/>
      <c r="AM649" s="62"/>
      <c r="AN649" s="62"/>
      <c r="AO649" s="62"/>
      <c r="AP649" s="62"/>
      <c r="AQ649" s="62"/>
      <c r="AR649" s="62"/>
      <c r="AS649" s="62"/>
      <c r="AT649" s="62"/>
      <c r="AU649" s="62"/>
      <c r="AV649" s="62"/>
      <c r="AW649" s="62"/>
      <c r="AX649" s="62"/>
      <c r="AY649" s="62"/>
      <c r="AZ649" s="62"/>
      <c r="BA649" s="62"/>
      <c r="BB649" s="62"/>
      <c r="BC649" s="62"/>
      <c r="BD649" s="62"/>
      <c r="BE649" s="62"/>
      <c r="BF649" s="62"/>
      <c r="BG649" s="62"/>
      <c r="BH649" s="62"/>
      <c r="BI649" s="62"/>
      <c r="BJ649" s="62"/>
      <c r="BK649" s="62"/>
      <c r="BL649" s="62"/>
      <c r="BM649" s="62"/>
      <c r="BN649" s="62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62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62"/>
      <c r="AF650" s="62"/>
      <c r="AG650" s="62"/>
      <c r="AH650" s="62"/>
      <c r="AI650" s="62"/>
      <c r="AJ650" s="62"/>
      <c r="AK650" s="62"/>
      <c r="AL650" s="62"/>
      <c r="AM650" s="62"/>
      <c r="AN650" s="62"/>
      <c r="AO650" s="62"/>
      <c r="AP650" s="62"/>
      <c r="AQ650" s="62"/>
      <c r="AR650" s="62"/>
      <c r="AS650" s="62"/>
      <c r="AT650" s="62"/>
      <c r="AU650" s="62"/>
      <c r="AV650" s="62"/>
      <c r="AW650" s="62"/>
      <c r="AX650" s="62"/>
      <c r="AY650" s="62"/>
      <c r="AZ650" s="62"/>
      <c r="BA650" s="62"/>
      <c r="BB650" s="62"/>
      <c r="BC650" s="62"/>
      <c r="BD650" s="62"/>
      <c r="BE650" s="62"/>
      <c r="BF650" s="62"/>
      <c r="BG650" s="62"/>
      <c r="BH650" s="62"/>
      <c r="BI650" s="62"/>
      <c r="BJ650" s="62"/>
      <c r="BK650" s="62"/>
      <c r="BL650" s="62"/>
      <c r="BM650" s="62"/>
      <c r="BN650" s="62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62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62"/>
      <c r="AF651" s="62"/>
      <c r="AG651" s="62"/>
      <c r="AH651" s="62"/>
      <c r="AI651" s="62"/>
      <c r="AJ651" s="62"/>
      <c r="AK651" s="62"/>
      <c r="AL651" s="62"/>
      <c r="AM651" s="62"/>
      <c r="AN651" s="62"/>
      <c r="AO651" s="62"/>
      <c r="AP651" s="62"/>
      <c r="AQ651" s="62"/>
      <c r="AR651" s="62"/>
      <c r="AS651" s="62"/>
      <c r="AT651" s="62"/>
      <c r="AU651" s="62"/>
      <c r="AV651" s="62"/>
      <c r="AW651" s="62"/>
      <c r="AX651" s="62"/>
      <c r="AY651" s="62"/>
      <c r="AZ651" s="62"/>
      <c r="BA651" s="62"/>
      <c r="BB651" s="62"/>
      <c r="BC651" s="62"/>
      <c r="BD651" s="62"/>
      <c r="BE651" s="62"/>
      <c r="BF651" s="62"/>
      <c r="BG651" s="62"/>
      <c r="BH651" s="62"/>
      <c r="BI651" s="62"/>
      <c r="BJ651" s="62"/>
      <c r="BK651" s="62"/>
      <c r="BL651" s="62"/>
      <c r="BM651" s="62"/>
      <c r="BN651" s="62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62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/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2"/>
      <c r="BJ652" s="62"/>
      <c r="BK652" s="62"/>
      <c r="BL652" s="62"/>
      <c r="BM652" s="62"/>
      <c r="BN652" s="62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62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2"/>
      <c r="BJ653" s="62"/>
      <c r="BK653" s="62"/>
      <c r="BL653" s="62"/>
      <c r="BM653" s="62"/>
      <c r="BN653" s="62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62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62"/>
      <c r="AF654" s="62"/>
      <c r="AG654" s="62"/>
      <c r="AH654" s="62"/>
      <c r="AI654" s="62"/>
      <c r="AJ654" s="62"/>
      <c r="AK654" s="62"/>
      <c r="AL654" s="62"/>
      <c r="AM654" s="62"/>
      <c r="AN654" s="62"/>
      <c r="AO654" s="62"/>
      <c r="AP654" s="62"/>
      <c r="AQ654" s="62"/>
      <c r="AR654" s="62"/>
      <c r="AS654" s="62"/>
      <c r="AT654" s="62"/>
      <c r="AU654" s="62"/>
      <c r="AV654" s="62"/>
      <c r="AW654" s="62"/>
      <c r="AX654" s="62"/>
      <c r="AY654" s="62"/>
      <c r="AZ654" s="62"/>
      <c r="BA654" s="62"/>
      <c r="BB654" s="62"/>
      <c r="BC654" s="62"/>
      <c r="BD654" s="62"/>
      <c r="BE654" s="62"/>
      <c r="BF654" s="62"/>
      <c r="BG654" s="62"/>
      <c r="BH654" s="62"/>
      <c r="BI654" s="62"/>
      <c r="BJ654" s="62"/>
      <c r="BK654" s="62"/>
      <c r="BL654" s="62"/>
      <c r="BM654" s="62"/>
      <c r="BN654" s="62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62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62"/>
      <c r="AF655" s="62"/>
      <c r="AG655" s="62"/>
      <c r="AH655" s="62"/>
      <c r="AI655" s="62"/>
      <c r="AJ655" s="62"/>
      <c r="AK655" s="62"/>
      <c r="AL655" s="62"/>
      <c r="AM655" s="62"/>
      <c r="AN655" s="62"/>
      <c r="AO655" s="62"/>
      <c r="AP655" s="62"/>
      <c r="AQ655" s="62"/>
      <c r="AR655" s="62"/>
      <c r="AS655" s="62"/>
      <c r="AT655" s="62"/>
      <c r="AU655" s="62"/>
      <c r="AV655" s="62"/>
      <c r="AW655" s="62"/>
      <c r="AX655" s="62"/>
      <c r="AY655" s="62"/>
      <c r="AZ655" s="62"/>
      <c r="BA655" s="62"/>
      <c r="BB655" s="62"/>
      <c r="BC655" s="62"/>
      <c r="BD655" s="62"/>
      <c r="BE655" s="62"/>
      <c r="BF655" s="62"/>
      <c r="BG655" s="62"/>
      <c r="BH655" s="62"/>
      <c r="BI655" s="62"/>
      <c r="BJ655" s="62"/>
      <c r="BK655" s="62"/>
      <c r="BL655" s="62"/>
      <c r="BM655" s="62"/>
      <c r="BN655" s="62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62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62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62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62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62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62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62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62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62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62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62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62"/>
      <c r="AF666" s="62"/>
      <c r="AG666" s="62"/>
      <c r="AH666" s="62"/>
      <c r="AI666" s="62"/>
      <c r="AJ666" s="62"/>
      <c r="AK666" s="62"/>
      <c r="AL666" s="62"/>
      <c r="AM666" s="62"/>
      <c r="AN666" s="62"/>
      <c r="AO666" s="62"/>
      <c r="AP666" s="62"/>
      <c r="AQ666" s="62"/>
      <c r="AR666" s="62"/>
      <c r="AS666" s="62"/>
      <c r="AT666" s="62"/>
      <c r="AU666" s="62"/>
      <c r="AV666" s="62"/>
      <c r="AW666" s="62"/>
      <c r="AX666" s="62"/>
      <c r="AY666" s="62"/>
      <c r="AZ666" s="62"/>
      <c r="BA666" s="62"/>
      <c r="BB666" s="62"/>
      <c r="BC666" s="62"/>
      <c r="BD666" s="62"/>
      <c r="BE666" s="62"/>
      <c r="BF666" s="62"/>
      <c r="BG666" s="62"/>
      <c r="BH666" s="62"/>
      <c r="BI666" s="62"/>
      <c r="BJ666" s="62"/>
      <c r="BK666" s="62"/>
      <c r="BL666" s="62"/>
      <c r="BM666" s="62"/>
      <c r="BN666" s="62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62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62"/>
      <c r="AF667" s="62"/>
      <c r="AG667" s="62"/>
      <c r="AH667" s="62"/>
      <c r="AI667" s="62"/>
      <c r="AJ667" s="62"/>
      <c r="AK667" s="62"/>
      <c r="AL667" s="62"/>
      <c r="AM667" s="62"/>
      <c r="AN667" s="62"/>
      <c r="AO667" s="62"/>
      <c r="AP667" s="62"/>
      <c r="AQ667" s="62"/>
      <c r="AR667" s="62"/>
      <c r="AS667" s="62"/>
      <c r="AT667" s="62"/>
      <c r="AU667" s="62"/>
      <c r="AV667" s="62"/>
      <c r="AW667" s="62"/>
      <c r="AX667" s="62"/>
      <c r="AY667" s="62"/>
      <c r="AZ667" s="62"/>
      <c r="BA667" s="62"/>
      <c r="BB667" s="62"/>
      <c r="BC667" s="62"/>
      <c r="BD667" s="62"/>
      <c r="BE667" s="62"/>
      <c r="BF667" s="62"/>
      <c r="BG667" s="62"/>
      <c r="BH667" s="62"/>
      <c r="BI667" s="62"/>
      <c r="BJ667" s="62"/>
      <c r="BK667" s="62"/>
      <c r="BL667" s="62"/>
      <c r="BM667" s="62"/>
      <c r="BN667" s="62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62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62"/>
      <c r="AF668" s="62"/>
      <c r="AG668" s="62"/>
      <c r="AH668" s="62"/>
      <c r="AI668" s="62"/>
      <c r="AJ668" s="62"/>
      <c r="AK668" s="62"/>
      <c r="AL668" s="62"/>
      <c r="AM668" s="62"/>
      <c r="AN668" s="62"/>
      <c r="AO668" s="62"/>
      <c r="AP668" s="62"/>
      <c r="AQ668" s="62"/>
      <c r="AR668" s="62"/>
      <c r="AS668" s="62"/>
      <c r="AT668" s="62"/>
      <c r="AU668" s="62"/>
      <c r="AV668" s="62"/>
      <c r="AW668" s="62"/>
      <c r="AX668" s="62"/>
      <c r="AY668" s="62"/>
      <c r="AZ668" s="62"/>
      <c r="BA668" s="62"/>
      <c r="BB668" s="62"/>
      <c r="BC668" s="62"/>
      <c r="BD668" s="62"/>
      <c r="BE668" s="62"/>
      <c r="BF668" s="62"/>
      <c r="BG668" s="62"/>
      <c r="BH668" s="62"/>
      <c r="BI668" s="62"/>
      <c r="BJ668" s="62"/>
      <c r="BK668" s="62"/>
      <c r="BL668" s="62"/>
      <c r="BM668" s="62"/>
      <c r="BN668" s="62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62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62"/>
      <c r="AF669" s="62"/>
      <c r="AG669" s="62"/>
      <c r="AH669" s="62"/>
      <c r="AI669" s="62"/>
      <c r="AJ669" s="62"/>
      <c r="AK669" s="62"/>
      <c r="AL669" s="62"/>
      <c r="AM669" s="62"/>
      <c r="AN669" s="62"/>
      <c r="AO669" s="62"/>
      <c r="AP669" s="62"/>
      <c r="AQ669" s="62"/>
      <c r="AR669" s="62"/>
      <c r="AS669" s="62"/>
      <c r="AT669" s="62"/>
      <c r="AU669" s="62"/>
      <c r="AV669" s="62"/>
      <c r="AW669" s="62"/>
      <c r="AX669" s="62"/>
      <c r="AY669" s="62"/>
      <c r="AZ669" s="62"/>
      <c r="BA669" s="62"/>
      <c r="BB669" s="62"/>
      <c r="BC669" s="62"/>
      <c r="BD669" s="62"/>
      <c r="BE669" s="62"/>
      <c r="BF669" s="62"/>
      <c r="BG669" s="62"/>
      <c r="BH669" s="62"/>
      <c r="BI669" s="62"/>
      <c r="BJ669" s="62"/>
      <c r="BK669" s="62"/>
      <c r="BL669" s="62"/>
      <c r="BM669" s="62"/>
      <c r="BN669" s="62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62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62"/>
      <c r="AF670" s="62"/>
      <c r="AG670" s="62"/>
      <c r="AH670" s="62"/>
      <c r="AI670" s="62"/>
      <c r="AJ670" s="62"/>
      <c r="AK670" s="62"/>
      <c r="AL670" s="62"/>
      <c r="AM670" s="62"/>
      <c r="AN670" s="62"/>
      <c r="AO670" s="62"/>
      <c r="AP670" s="62"/>
      <c r="AQ670" s="62"/>
      <c r="AR670" s="62"/>
      <c r="AS670" s="62"/>
      <c r="AT670" s="62"/>
      <c r="AU670" s="62"/>
      <c r="AV670" s="62"/>
      <c r="AW670" s="62"/>
      <c r="AX670" s="62"/>
      <c r="AY670" s="62"/>
      <c r="AZ670" s="62"/>
      <c r="BA670" s="62"/>
      <c r="BB670" s="62"/>
      <c r="BC670" s="62"/>
      <c r="BD670" s="62"/>
      <c r="BE670" s="62"/>
      <c r="BF670" s="62"/>
      <c r="BG670" s="62"/>
      <c r="BH670" s="62"/>
      <c r="BI670" s="62"/>
      <c r="BJ670" s="62"/>
      <c r="BK670" s="62"/>
      <c r="BL670" s="62"/>
      <c r="BM670" s="62"/>
      <c r="BN670" s="62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62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62"/>
      <c r="AF671" s="62"/>
      <c r="AG671" s="62"/>
      <c r="AH671" s="62"/>
      <c r="AI671" s="62"/>
      <c r="AJ671" s="62"/>
      <c r="AK671" s="62"/>
      <c r="AL671" s="62"/>
      <c r="AM671" s="62"/>
      <c r="AN671" s="62"/>
      <c r="AO671" s="62"/>
      <c r="AP671" s="62"/>
      <c r="AQ671" s="62"/>
      <c r="AR671" s="62"/>
      <c r="AS671" s="62"/>
      <c r="AT671" s="62"/>
      <c r="AU671" s="62"/>
      <c r="AV671" s="62"/>
      <c r="AW671" s="62"/>
      <c r="AX671" s="62"/>
      <c r="AY671" s="62"/>
      <c r="AZ671" s="62"/>
      <c r="BA671" s="62"/>
      <c r="BB671" s="62"/>
      <c r="BC671" s="62"/>
      <c r="BD671" s="62"/>
      <c r="BE671" s="62"/>
      <c r="BF671" s="62"/>
      <c r="BG671" s="62"/>
      <c r="BH671" s="62"/>
      <c r="BI671" s="62"/>
      <c r="BJ671" s="62"/>
      <c r="BK671" s="62"/>
      <c r="BL671" s="62"/>
      <c r="BM671" s="62"/>
      <c r="BN671" s="62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62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62"/>
      <c r="AF672" s="62"/>
      <c r="AG672" s="62"/>
      <c r="AH672" s="62"/>
      <c r="AI672" s="62"/>
      <c r="AJ672" s="62"/>
      <c r="AK672" s="62"/>
      <c r="AL672" s="62"/>
      <c r="AM672" s="62"/>
      <c r="AN672" s="62"/>
      <c r="AO672" s="62"/>
      <c r="AP672" s="62"/>
      <c r="AQ672" s="62"/>
      <c r="AR672" s="62"/>
      <c r="AS672" s="62"/>
      <c r="AT672" s="62"/>
      <c r="AU672" s="62"/>
      <c r="AV672" s="62"/>
      <c r="AW672" s="62"/>
      <c r="AX672" s="62"/>
      <c r="AY672" s="62"/>
      <c r="AZ672" s="62"/>
      <c r="BA672" s="62"/>
      <c r="BB672" s="62"/>
      <c r="BC672" s="62"/>
      <c r="BD672" s="62"/>
      <c r="BE672" s="62"/>
      <c r="BF672" s="62"/>
      <c r="BG672" s="62"/>
      <c r="BH672" s="62"/>
      <c r="BI672" s="62"/>
      <c r="BJ672" s="62"/>
      <c r="BK672" s="62"/>
      <c r="BL672" s="62"/>
      <c r="BM672" s="62"/>
      <c r="BN672" s="62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62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62"/>
      <c r="AF673" s="62"/>
      <c r="AG673" s="62"/>
      <c r="AH673" s="62"/>
      <c r="AI673" s="62"/>
      <c r="AJ673" s="62"/>
      <c r="AK673" s="62"/>
      <c r="AL673" s="62"/>
      <c r="AM673" s="62"/>
      <c r="AN673" s="62"/>
      <c r="AO673" s="62"/>
      <c r="AP673" s="62"/>
      <c r="AQ673" s="62"/>
      <c r="AR673" s="62"/>
      <c r="AS673" s="62"/>
      <c r="AT673" s="62"/>
      <c r="AU673" s="62"/>
      <c r="AV673" s="62"/>
      <c r="AW673" s="62"/>
      <c r="AX673" s="62"/>
      <c r="AY673" s="62"/>
      <c r="AZ673" s="62"/>
      <c r="BA673" s="62"/>
      <c r="BB673" s="62"/>
      <c r="BC673" s="62"/>
      <c r="BD673" s="62"/>
      <c r="BE673" s="62"/>
      <c r="BF673" s="62"/>
      <c r="BG673" s="62"/>
      <c r="BH673" s="62"/>
      <c r="BI673" s="62"/>
      <c r="BJ673" s="62"/>
      <c r="BK673" s="62"/>
      <c r="BL673" s="62"/>
      <c r="BM673" s="62"/>
      <c r="BN673" s="62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62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62"/>
      <c r="AF674" s="62"/>
      <c r="AG674" s="62"/>
      <c r="AH674" s="62"/>
      <c r="AI674" s="62"/>
      <c r="AJ674" s="62"/>
      <c r="AK674" s="62"/>
      <c r="AL674" s="62"/>
      <c r="AM674" s="62"/>
      <c r="AN674" s="62"/>
      <c r="AO674" s="62"/>
      <c r="AP674" s="62"/>
      <c r="AQ674" s="62"/>
      <c r="AR674" s="62"/>
      <c r="AS674" s="62"/>
      <c r="AT674" s="62"/>
      <c r="AU674" s="62"/>
      <c r="AV674" s="62"/>
      <c r="AW674" s="62"/>
      <c r="AX674" s="62"/>
      <c r="AY674" s="62"/>
      <c r="AZ674" s="62"/>
      <c r="BA674" s="62"/>
      <c r="BB674" s="62"/>
      <c r="BC674" s="62"/>
      <c r="BD674" s="62"/>
      <c r="BE674" s="62"/>
      <c r="BF674" s="62"/>
      <c r="BG674" s="62"/>
      <c r="BH674" s="62"/>
      <c r="BI674" s="62"/>
      <c r="BJ674" s="62"/>
      <c r="BK674" s="62"/>
      <c r="BL674" s="62"/>
      <c r="BM674" s="62"/>
      <c r="BN674" s="62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62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62"/>
      <c r="AF675" s="62"/>
      <c r="AG675" s="62"/>
      <c r="AH675" s="62"/>
      <c r="AI675" s="62"/>
      <c r="AJ675" s="62"/>
      <c r="AK675" s="62"/>
      <c r="AL675" s="62"/>
      <c r="AM675" s="62"/>
      <c r="AN675" s="62"/>
      <c r="AO675" s="62"/>
      <c r="AP675" s="62"/>
      <c r="AQ675" s="62"/>
      <c r="AR675" s="62"/>
      <c r="AS675" s="62"/>
      <c r="AT675" s="62"/>
      <c r="AU675" s="62"/>
      <c r="AV675" s="62"/>
      <c r="AW675" s="62"/>
      <c r="AX675" s="62"/>
      <c r="AY675" s="62"/>
      <c r="AZ675" s="62"/>
      <c r="BA675" s="62"/>
      <c r="BB675" s="62"/>
      <c r="BC675" s="62"/>
      <c r="BD675" s="62"/>
      <c r="BE675" s="62"/>
      <c r="BF675" s="62"/>
      <c r="BG675" s="62"/>
      <c r="BH675" s="62"/>
      <c r="BI675" s="62"/>
      <c r="BJ675" s="62"/>
      <c r="BK675" s="62"/>
      <c r="BL675" s="62"/>
      <c r="BM675" s="62"/>
      <c r="BN675" s="62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62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62"/>
      <c r="AF676" s="62"/>
      <c r="AG676" s="62"/>
      <c r="AH676" s="62"/>
      <c r="AI676" s="62"/>
      <c r="AJ676" s="62"/>
      <c r="AK676" s="62"/>
      <c r="AL676" s="62"/>
      <c r="AM676" s="62"/>
      <c r="AN676" s="62"/>
      <c r="AO676" s="62"/>
      <c r="AP676" s="62"/>
      <c r="AQ676" s="62"/>
      <c r="AR676" s="62"/>
      <c r="AS676" s="62"/>
      <c r="AT676" s="62"/>
      <c r="AU676" s="62"/>
      <c r="AV676" s="62"/>
      <c r="AW676" s="62"/>
      <c r="AX676" s="62"/>
      <c r="AY676" s="62"/>
      <c r="AZ676" s="62"/>
      <c r="BA676" s="62"/>
      <c r="BB676" s="62"/>
      <c r="BC676" s="62"/>
      <c r="BD676" s="62"/>
      <c r="BE676" s="62"/>
      <c r="BF676" s="62"/>
      <c r="BG676" s="62"/>
      <c r="BH676" s="62"/>
      <c r="BI676" s="62"/>
      <c r="BJ676" s="62"/>
      <c r="BK676" s="62"/>
      <c r="BL676" s="62"/>
      <c r="BM676" s="62"/>
      <c r="BN676" s="62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62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62"/>
      <c r="AF677" s="62"/>
      <c r="AG677" s="62"/>
      <c r="AH677" s="62"/>
      <c r="AI677" s="62"/>
      <c r="AJ677" s="62"/>
      <c r="AK677" s="62"/>
      <c r="AL677" s="62"/>
      <c r="AM677" s="62"/>
      <c r="AN677" s="62"/>
      <c r="AO677" s="62"/>
      <c r="AP677" s="62"/>
      <c r="AQ677" s="62"/>
      <c r="AR677" s="62"/>
      <c r="AS677" s="62"/>
      <c r="AT677" s="62"/>
      <c r="AU677" s="62"/>
      <c r="AV677" s="62"/>
      <c r="AW677" s="62"/>
      <c r="AX677" s="62"/>
      <c r="AY677" s="62"/>
      <c r="AZ677" s="62"/>
      <c r="BA677" s="62"/>
      <c r="BB677" s="62"/>
      <c r="BC677" s="62"/>
      <c r="BD677" s="62"/>
      <c r="BE677" s="62"/>
      <c r="BF677" s="62"/>
      <c r="BG677" s="62"/>
      <c r="BH677" s="62"/>
      <c r="BI677" s="62"/>
      <c r="BJ677" s="62"/>
      <c r="BK677" s="62"/>
      <c r="BL677" s="62"/>
      <c r="BM677" s="62"/>
      <c r="BN677" s="62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62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62"/>
      <c r="AF678" s="62"/>
      <c r="AG678" s="62"/>
      <c r="AH678" s="62"/>
      <c r="AI678" s="62"/>
      <c r="AJ678" s="62"/>
      <c r="AK678" s="62"/>
      <c r="AL678" s="62"/>
      <c r="AM678" s="62"/>
      <c r="AN678" s="62"/>
      <c r="AO678" s="62"/>
      <c r="AP678" s="62"/>
      <c r="AQ678" s="62"/>
      <c r="AR678" s="62"/>
      <c r="AS678" s="62"/>
      <c r="AT678" s="62"/>
      <c r="AU678" s="62"/>
      <c r="AV678" s="62"/>
      <c r="AW678" s="62"/>
      <c r="AX678" s="62"/>
      <c r="AY678" s="62"/>
      <c r="AZ678" s="62"/>
      <c r="BA678" s="62"/>
      <c r="BB678" s="62"/>
      <c r="BC678" s="62"/>
      <c r="BD678" s="62"/>
      <c r="BE678" s="62"/>
      <c r="BF678" s="62"/>
      <c r="BG678" s="62"/>
      <c r="BH678" s="62"/>
      <c r="BI678" s="62"/>
      <c r="BJ678" s="62"/>
      <c r="BK678" s="62"/>
      <c r="BL678" s="62"/>
      <c r="BM678" s="62"/>
      <c r="BN678" s="62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62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62"/>
      <c r="AF679" s="62"/>
      <c r="AG679" s="62"/>
      <c r="AH679" s="62"/>
      <c r="AI679" s="62"/>
      <c r="AJ679" s="62"/>
      <c r="AK679" s="62"/>
      <c r="AL679" s="62"/>
      <c r="AM679" s="62"/>
      <c r="AN679" s="62"/>
      <c r="AO679" s="62"/>
      <c r="AP679" s="62"/>
      <c r="AQ679" s="62"/>
      <c r="AR679" s="62"/>
      <c r="AS679" s="62"/>
      <c r="AT679" s="62"/>
      <c r="AU679" s="62"/>
      <c r="AV679" s="62"/>
      <c r="AW679" s="62"/>
      <c r="AX679" s="62"/>
      <c r="AY679" s="62"/>
      <c r="AZ679" s="62"/>
      <c r="BA679" s="62"/>
      <c r="BB679" s="62"/>
      <c r="BC679" s="62"/>
      <c r="BD679" s="62"/>
      <c r="BE679" s="62"/>
      <c r="BF679" s="62"/>
      <c r="BG679" s="62"/>
      <c r="BH679" s="62"/>
      <c r="BI679" s="62"/>
      <c r="BJ679" s="62"/>
      <c r="BK679" s="62"/>
      <c r="BL679" s="62"/>
      <c r="BM679" s="62"/>
      <c r="BN679" s="62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62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62"/>
      <c r="AF680" s="62"/>
      <c r="AG680" s="62"/>
      <c r="AH680" s="62"/>
      <c r="AI680" s="62"/>
      <c r="AJ680" s="62"/>
      <c r="AK680" s="62"/>
      <c r="AL680" s="62"/>
      <c r="AM680" s="62"/>
      <c r="AN680" s="62"/>
      <c r="AO680" s="62"/>
      <c r="AP680" s="62"/>
      <c r="AQ680" s="62"/>
      <c r="AR680" s="62"/>
      <c r="AS680" s="62"/>
      <c r="AT680" s="62"/>
      <c r="AU680" s="62"/>
      <c r="AV680" s="62"/>
      <c r="AW680" s="62"/>
      <c r="AX680" s="62"/>
      <c r="AY680" s="62"/>
      <c r="AZ680" s="62"/>
      <c r="BA680" s="62"/>
      <c r="BB680" s="62"/>
      <c r="BC680" s="62"/>
      <c r="BD680" s="62"/>
      <c r="BE680" s="62"/>
      <c r="BF680" s="62"/>
      <c r="BG680" s="62"/>
      <c r="BH680" s="62"/>
      <c r="BI680" s="62"/>
      <c r="BJ680" s="62"/>
      <c r="BK680" s="62"/>
      <c r="BL680" s="62"/>
      <c r="BM680" s="62"/>
      <c r="BN680" s="62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62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62"/>
      <c r="AF681" s="62"/>
      <c r="AG681" s="62"/>
      <c r="AH681" s="62"/>
      <c r="AI681" s="62"/>
      <c r="AJ681" s="62"/>
      <c r="AK681" s="62"/>
      <c r="AL681" s="62"/>
      <c r="AM681" s="62"/>
      <c r="AN681" s="62"/>
      <c r="AO681" s="62"/>
      <c r="AP681" s="62"/>
      <c r="AQ681" s="62"/>
      <c r="AR681" s="62"/>
      <c r="AS681" s="62"/>
      <c r="AT681" s="62"/>
      <c r="AU681" s="62"/>
      <c r="AV681" s="62"/>
      <c r="AW681" s="62"/>
      <c r="AX681" s="62"/>
      <c r="AY681" s="62"/>
      <c r="AZ681" s="62"/>
      <c r="BA681" s="62"/>
      <c r="BB681" s="62"/>
      <c r="BC681" s="62"/>
      <c r="BD681" s="62"/>
      <c r="BE681" s="62"/>
      <c r="BF681" s="62"/>
      <c r="BG681" s="62"/>
      <c r="BH681" s="62"/>
      <c r="BI681" s="62"/>
      <c r="BJ681" s="62"/>
      <c r="BK681" s="62"/>
      <c r="BL681" s="62"/>
      <c r="BM681" s="62"/>
      <c r="BN681" s="62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62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62"/>
      <c r="AF682" s="62"/>
      <c r="AG682" s="62"/>
      <c r="AH682" s="62"/>
      <c r="AI682" s="62"/>
      <c r="AJ682" s="62"/>
      <c r="AK682" s="62"/>
      <c r="AL682" s="62"/>
      <c r="AM682" s="62"/>
      <c r="AN682" s="62"/>
      <c r="AO682" s="62"/>
      <c r="AP682" s="62"/>
      <c r="AQ682" s="62"/>
      <c r="AR682" s="62"/>
      <c r="AS682" s="62"/>
      <c r="AT682" s="62"/>
      <c r="AU682" s="62"/>
      <c r="AV682" s="62"/>
      <c r="AW682" s="62"/>
      <c r="AX682" s="62"/>
      <c r="AY682" s="62"/>
      <c r="AZ682" s="62"/>
      <c r="BA682" s="62"/>
      <c r="BB682" s="62"/>
      <c r="BC682" s="62"/>
      <c r="BD682" s="62"/>
      <c r="BE682" s="62"/>
      <c r="BF682" s="62"/>
      <c r="BG682" s="62"/>
      <c r="BH682" s="62"/>
      <c r="BI682" s="62"/>
      <c r="BJ682" s="62"/>
      <c r="BK682" s="62"/>
      <c r="BL682" s="62"/>
      <c r="BM682" s="62"/>
      <c r="BN682" s="62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62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62"/>
      <c r="AF683" s="62"/>
      <c r="AG683" s="62"/>
      <c r="AH683" s="62"/>
      <c r="AI683" s="62"/>
      <c r="AJ683" s="62"/>
      <c r="AK683" s="62"/>
      <c r="AL683" s="62"/>
      <c r="AM683" s="62"/>
      <c r="AN683" s="62"/>
      <c r="AO683" s="62"/>
      <c r="AP683" s="62"/>
      <c r="AQ683" s="62"/>
      <c r="AR683" s="62"/>
      <c r="AS683" s="62"/>
      <c r="AT683" s="62"/>
      <c r="AU683" s="62"/>
      <c r="AV683" s="62"/>
      <c r="AW683" s="62"/>
      <c r="AX683" s="62"/>
      <c r="AY683" s="62"/>
      <c r="AZ683" s="62"/>
      <c r="BA683" s="62"/>
      <c r="BB683" s="62"/>
      <c r="BC683" s="62"/>
      <c r="BD683" s="62"/>
      <c r="BE683" s="62"/>
      <c r="BF683" s="62"/>
      <c r="BG683" s="62"/>
      <c r="BH683" s="62"/>
      <c r="BI683" s="62"/>
      <c r="BJ683" s="62"/>
      <c r="BK683" s="62"/>
      <c r="BL683" s="62"/>
      <c r="BM683" s="62"/>
      <c r="BN683" s="62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62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62"/>
      <c r="AF684" s="62"/>
      <c r="AG684" s="62"/>
      <c r="AH684" s="62"/>
      <c r="AI684" s="62"/>
      <c r="AJ684" s="62"/>
      <c r="AK684" s="62"/>
      <c r="AL684" s="62"/>
      <c r="AM684" s="62"/>
      <c r="AN684" s="62"/>
      <c r="AO684" s="62"/>
      <c r="AP684" s="62"/>
      <c r="AQ684" s="62"/>
      <c r="AR684" s="62"/>
      <c r="AS684" s="62"/>
      <c r="AT684" s="62"/>
      <c r="AU684" s="62"/>
      <c r="AV684" s="62"/>
      <c r="AW684" s="62"/>
      <c r="AX684" s="62"/>
      <c r="AY684" s="62"/>
      <c r="AZ684" s="62"/>
      <c r="BA684" s="62"/>
      <c r="BB684" s="62"/>
      <c r="BC684" s="62"/>
      <c r="BD684" s="62"/>
      <c r="BE684" s="62"/>
      <c r="BF684" s="62"/>
      <c r="BG684" s="62"/>
      <c r="BH684" s="62"/>
      <c r="BI684" s="62"/>
      <c r="BJ684" s="62"/>
      <c r="BK684" s="62"/>
      <c r="BL684" s="62"/>
      <c r="BM684" s="62"/>
      <c r="BN684" s="62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62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62"/>
      <c r="AF685" s="62"/>
      <c r="AG685" s="62"/>
      <c r="AH685" s="62"/>
      <c r="AI685" s="62"/>
      <c r="AJ685" s="62"/>
      <c r="AK685" s="62"/>
      <c r="AL685" s="62"/>
      <c r="AM685" s="62"/>
      <c r="AN685" s="62"/>
      <c r="AO685" s="62"/>
      <c r="AP685" s="62"/>
      <c r="AQ685" s="62"/>
      <c r="AR685" s="62"/>
      <c r="AS685" s="62"/>
      <c r="AT685" s="62"/>
      <c r="AU685" s="62"/>
      <c r="AV685" s="62"/>
      <c r="AW685" s="62"/>
      <c r="AX685" s="62"/>
      <c r="AY685" s="62"/>
      <c r="AZ685" s="62"/>
      <c r="BA685" s="62"/>
      <c r="BB685" s="62"/>
      <c r="BC685" s="62"/>
      <c r="BD685" s="62"/>
      <c r="BE685" s="62"/>
      <c r="BF685" s="62"/>
      <c r="BG685" s="62"/>
      <c r="BH685" s="62"/>
      <c r="BI685" s="62"/>
      <c r="BJ685" s="62"/>
      <c r="BK685" s="62"/>
      <c r="BL685" s="62"/>
      <c r="BM685" s="62"/>
      <c r="BN685" s="62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62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62"/>
      <c r="AF686" s="62"/>
      <c r="AG686" s="62"/>
      <c r="AH686" s="62"/>
      <c r="AI686" s="62"/>
      <c r="AJ686" s="62"/>
      <c r="AK686" s="62"/>
      <c r="AL686" s="62"/>
      <c r="AM686" s="62"/>
      <c r="AN686" s="62"/>
      <c r="AO686" s="62"/>
      <c r="AP686" s="62"/>
      <c r="AQ686" s="62"/>
      <c r="AR686" s="62"/>
      <c r="AS686" s="62"/>
      <c r="AT686" s="62"/>
      <c r="AU686" s="62"/>
      <c r="AV686" s="62"/>
      <c r="AW686" s="62"/>
      <c r="AX686" s="62"/>
      <c r="AY686" s="62"/>
      <c r="AZ686" s="62"/>
      <c r="BA686" s="62"/>
      <c r="BB686" s="62"/>
      <c r="BC686" s="62"/>
      <c r="BD686" s="62"/>
      <c r="BE686" s="62"/>
      <c r="BF686" s="62"/>
      <c r="BG686" s="62"/>
      <c r="BH686" s="62"/>
      <c r="BI686" s="62"/>
      <c r="BJ686" s="62"/>
      <c r="BK686" s="62"/>
      <c r="BL686" s="62"/>
      <c r="BM686" s="62"/>
      <c r="BN686" s="62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62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62"/>
      <c r="AF687" s="62"/>
      <c r="AG687" s="62"/>
      <c r="AH687" s="62"/>
      <c r="AI687" s="62"/>
      <c r="AJ687" s="62"/>
      <c r="AK687" s="62"/>
      <c r="AL687" s="62"/>
      <c r="AM687" s="62"/>
      <c r="AN687" s="62"/>
      <c r="AO687" s="62"/>
      <c r="AP687" s="62"/>
      <c r="AQ687" s="62"/>
      <c r="AR687" s="62"/>
      <c r="AS687" s="62"/>
      <c r="AT687" s="62"/>
      <c r="AU687" s="62"/>
      <c r="AV687" s="62"/>
      <c r="AW687" s="62"/>
      <c r="AX687" s="62"/>
      <c r="AY687" s="62"/>
      <c r="AZ687" s="62"/>
      <c r="BA687" s="62"/>
      <c r="BB687" s="62"/>
      <c r="BC687" s="62"/>
      <c r="BD687" s="62"/>
      <c r="BE687" s="62"/>
      <c r="BF687" s="62"/>
      <c r="BG687" s="62"/>
      <c r="BH687" s="62"/>
      <c r="BI687" s="62"/>
      <c r="BJ687" s="62"/>
      <c r="BK687" s="62"/>
      <c r="BL687" s="62"/>
      <c r="BM687" s="62"/>
      <c r="BN687" s="62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62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62"/>
      <c r="AF688" s="62"/>
      <c r="AG688" s="62"/>
      <c r="AH688" s="62"/>
      <c r="AI688" s="62"/>
      <c r="AJ688" s="62"/>
      <c r="AK688" s="62"/>
      <c r="AL688" s="62"/>
      <c r="AM688" s="62"/>
      <c r="AN688" s="62"/>
      <c r="AO688" s="62"/>
      <c r="AP688" s="62"/>
      <c r="AQ688" s="62"/>
      <c r="AR688" s="62"/>
      <c r="AS688" s="62"/>
      <c r="AT688" s="62"/>
      <c r="AU688" s="62"/>
      <c r="AV688" s="62"/>
      <c r="AW688" s="62"/>
      <c r="AX688" s="62"/>
      <c r="AY688" s="62"/>
      <c r="AZ688" s="62"/>
      <c r="BA688" s="62"/>
      <c r="BB688" s="62"/>
      <c r="BC688" s="62"/>
      <c r="BD688" s="62"/>
      <c r="BE688" s="62"/>
      <c r="BF688" s="62"/>
      <c r="BG688" s="62"/>
      <c r="BH688" s="62"/>
      <c r="BI688" s="62"/>
      <c r="BJ688" s="62"/>
      <c r="BK688" s="62"/>
      <c r="BL688" s="62"/>
      <c r="BM688" s="62"/>
      <c r="BN688" s="62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62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62"/>
      <c r="AF689" s="62"/>
      <c r="AG689" s="62"/>
      <c r="AH689" s="62"/>
      <c r="AI689" s="62"/>
      <c r="AJ689" s="62"/>
      <c r="AK689" s="62"/>
      <c r="AL689" s="62"/>
      <c r="AM689" s="62"/>
      <c r="AN689" s="62"/>
      <c r="AO689" s="62"/>
      <c r="AP689" s="62"/>
      <c r="AQ689" s="62"/>
      <c r="AR689" s="62"/>
      <c r="AS689" s="62"/>
      <c r="AT689" s="62"/>
      <c r="AU689" s="62"/>
      <c r="AV689" s="62"/>
      <c r="AW689" s="62"/>
      <c r="AX689" s="62"/>
      <c r="AY689" s="62"/>
      <c r="AZ689" s="62"/>
      <c r="BA689" s="62"/>
      <c r="BB689" s="62"/>
      <c r="BC689" s="62"/>
      <c r="BD689" s="62"/>
      <c r="BE689" s="62"/>
      <c r="BF689" s="62"/>
      <c r="BG689" s="62"/>
      <c r="BH689" s="62"/>
      <c r="BI689" s="62"/>
      <c r="BJ689" s="62"/>
      <c r="BK689" s="62"/>
      <c r="BL689" s="62"/>
      <c r="BM689" s="62"/>
      <c r="BN689" s="62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62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/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2"/>
      <c r="BJ690" s="62"/>
      <c r="BK690" s="62"/>
      <c r="BL690" s="62"/>
      <c r="BM690" s="62"/>
      <c r="BN690" s="62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62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2"/>
      <c r="BJ691" s="62"/>
      <c r="BK691" s="62"/>
      <c r="BL691" s="62"/>
      <c r="BM691" s="62"/>
      <c r="BN691" s="62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62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62"/>
      <c r="AF692" s="62"/>
      <c r="AG692" s="62"/>
      <c r="AH692" s="62"/>
      <c r="AI692" s="62"/>
      <c r="AJ692" s="62"/>
      <c r="AK692" s="62"/>
      <c r="AL692" s="62"/>
      <c r="AM692" s="62"/>
      <c r="AN692" s="62"/>
      <c r="AO692" s="62"/>
      <c r="AP692" s="62"/>
      <c r="AQ692" s="62"/>
      <c r="AR692" s="62"/>
      <c r="AS692" s="62"/>
      <c r="AT692" s="62"/>
      <c r="AU692" s="62"/>
      <c r="AV692" s="62"/>
      <c r="AW692" s="62"/>
      <c r="AX692" s="62"/>
      <c r="AY692" s="62"/>
      <c r="AZ692" s="62"/>
      <c r="BA692" s="62"/>
      <c r="BB692" s="62"/>
      <c r="BC692" s="62"/>
      <c r="BD692" s="62"/>
      <c r="BE692" s="62"/>
      <c r="BF692" s="62"/>
      <c r="BG692" s="62"/>
      <c r="BH692" s="62"/>
      <c r="BI692" s="62"/>
      <c r="BJ692" s="62"/>
      <c r="BK692" s="62"/>
      <c r="BL692" s="62"/>
      <c r="BM692" s="62"/>
      <c r="BN692" s="62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62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62"/>
      <c r="AF693" s="62"/>
      <c r="AG693" s="62"/>
      <c r="AH693" s="62"/>
      <c r="AI693" s="62"/>
      <c r="AJ693" s="62"/>
      <c r="AK693" s="62"/>
      <c r="AL693" s="62"/>
      <c r="AM693" s="62"/>
      <c r="AN693" s="62"/>
      <c r="AO693" s="62"/>
      <c r="AP693" s="62"/>
      <c r="AQ693" s="62"/>
      <c r="AR693" s="62"/>
      <c r="AS693" s="62"/>
      <c r="AT693" s="62"/>
      <c r="AU693" s="62"/>
      <c r="AV693" s="62"/>
      <c r="AW693" s="62"/>
      <c r="AX693" s="62"/>
      <c r="AY693" s="62"/>
      <c r="AZ693" s="62"/>
      <c r="BA693" s="62"/>
      <c r="BB693" s="62"/>
      <c r="BC693" s="62"/>
      <c r="BD693" s="62"/>
      <c r="BE693" s="62"/>
      <c r="BF693" s="62"/>
      <c r="BG693" s="62"/>
      <c r="BH693" s="62"/>
      <c r="BI693" s="62"/>
      <c r="BJ693" s="62"/>
      <c r="BK693" s="62"/>
      <c r="BL693" s="62"/>
      <c r="BM693" s="62"/>
      <c r="BN693" s="62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62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62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62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62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62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62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62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62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62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62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62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62"/>
      <c r="AF704" s="62"/>
      <c r="AG704" s="62"/>
      <c r="AH704" s="62"/>
      <c r="AI704" s="62"/>
      <c r="AJ704" s="62"/>
      <c r="AK704" s="62"/>
      <c r="AL704" s="62"/>
      <c r="AM704" s="62"/>
      <c r="AN704" s="62"/>
      <c r="AO704" s="62"/>
      <c r="AP704" s="62"/>
      <c r="AQ704" s="62"/>
      <c r="AR704" s="62"/>
      <c r="AS704" s="62"/>
      <c r="AT704" s="62"/>
      <c r="AU704" s="62"/>
      <c r="AV704" s="62"/>
      <c r="AW704" s="62"/>
      <c r="AX704" s="62"/>
      <c r="AY704" s="62"/>
      <c r="AZ704" s="62"/>
      <c r="BA704" s="62"/>
      <c r="BB704" s="62"/>
      <c r="BC704" s="62"/>
      <c r="BD704" s="62"/>
      <c r="BE704" s="62"/>
      <c r="BF704" s="62"/>
      <c r="BG704" s="62"/>
      <c r="BH704" s="62"/>
      <c r="BI704" s="62"/>
      <c r="BJ704" s="62"/>
      <c r="BK704" s="62"/>
      <c r="BL704" s="62"/>
      <c r="BM704" s="62"/>
      <c r="BN704" s="62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62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62"/>
      <c r="AF705" s="62"/>
      <c r="AG705" s="62"/>
      <c r="AH705" s="62"/>
      <c r="AI705" s="62"/>
      <c r="AJ705" s="62"/>
      <c r="AK705" s="62"/>
      <c r="AL705" s="62"/>
      <c r="AM705" s="62"/>
      <c r="AN705" s="62"/>
      <c r="AO705" s="62"/>
      <c r="AP705" s="62"/>
      <c r="AQ705" s="62"/>
      <c r="AR705" s="62"/>
      <c r="AS705" s="62"/>
      <c r="AT705" s="62"/>
      <c r="AU705" s="62"/>
      <c r="AV705" s="62"/>
      <c r="AW705" s="62"/>
      <c r="AX705" s="62"/>
      <c r="AY705" s="62"/>
      <c r="AZ705" s="62"/>
      <c r="BA705" s="62"/>
      <c r="BB705" s="62"/>
      <c r="BC705" s="62"/>
      <c r="BD705" s="62"/>
      <c r="BE705" s="62"/>
      <c r="BF705" s="62"/>
      <c r="BG705" s="62"/>
      <c r="BH705" s="62"/>
      <c r="BI705" s="62"/>
      <c r="BJ705" s="62"/>
      <c r="BK705" s="62"/>
      <c r="BL705" s="62"/>
      <c r="BM705" s="62"/>
      <c r="BN705" s="62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62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62"/>
      <c r="AF706" s="62"/>
      <c r="AG706" s="62"/>
      <c r="AH706" s="62"/>
      <c r="AI706" s="62"/>
      <c r="AJ706" s="62"/>
      <c r="AK706" s="62"/>
      <c r="AL706" s="62"/>
      <c r="AM706" s="62"/>
      <c r="AN706" s="62"/>
      <c r="AO706" s="62"/>
      <c r="AP706" s="62"/>
      <c r="AQ706" s="62"/>
      <c r="AR706" s="62"/>
      <c r="AS706" s="62"/>
      <c r="AT706" s="62"/>
      <c r="AU706" s="62"/>
      <c r="AV706" s="62"/>
      <c r="AW706" s="62"/>
      <c r="AX706" s="62"/>
      <c r="AY706" s="62"/>
      <c r="AZ706" s="62"/>
      <c r="BA706" s="62"/>
      <c r="BB706" s="62"/>
      <c r="BC706" s="62"/>
      <c r="BD706" s="62"/>
      <c r="BE706" s="62"/>
      <c r="BF706" s="62"/>
      <c r="BG706" s="62"/>
      <c r="BH706" s="62"/>
      <c r="BI706" s="62"/>
      <c r="BJ706" s="62"/>
      <c r="BK706" s="62"/>
      <c r="BL706" s="62"/>
      <c r="BM706" s="62"/>
      <c r="BN706" s="62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62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62"/>
      <c r="AF707" s="62"/>
      <c r="AG707" s="62"/>
      <c r="AH707" s="62"/>
      <c r="AI707" s="62"/>
      <c r="AJ707" s="62"/>
      <c r="AK707" s="62"/>
      <c r="AL707" s="62"/>
      <c r="AM707" s="62"/>
      <c r="AN707" s="62"/>
      <c r="AO707" s="62"/>
      <c r="AP707" s="62"/>
      <c r="AQ707" s="62"/>
      <c r="AR707" s="62"/>
      <c r="AS707" s="62"/>
      <c r="AT707" s="62"/>
      <c r="AU707" s="62"/>
      <c r="AV707" s="62"/>
      <c r="AW707" s="62"/>
      <c r="AX707" s="62"/>
      <c r="AY707" s="62"/>
      <c r="AZ707" s="62"/>
      <c r="BA707" s="62"/>
      <c r="BB707" s="62"/>
      <c r="BC707" s="62"/>
      <c r="BD707" s="62"/>
      <c r="BE707" s="62"/>
      <c r="BF707" s="62"/>
      <c r="BG707" s="62"/>
      <c r="BH707" s="62"/>
      <c r="BI707" s="62"/>
      <c r="BJ707" s="62"/>
      <c r="BK707" s="62"/>
      <c r="BL707" s="62"/>
      <c r="BM707" s="62"/>
      <c r="BN707" s="62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62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62"/>
      <c r="AF708" s="62"/>
      <c r="AG708" s="62"/>
      <c r="AH708" s="62"/>
      <c r="AI708" s="62"/>
      <c r="AJ708" s="62"/>
      <c r="AK708" s="62"/>
      <c r="AL708" s="62"/>
      <c r="AM708" s="62"/>
      <c r="AN708" s="62"/>
      <c r="AO708" s="62"/>
      <c r="AP708" s="62"/>
      <c r="AQ708" s="62"/>
      <c r="AR708" s="62"/>
      <c r="AS708" s="62"/>
      <c r="AT708" s="62"/>
      <c r="AU708" s="62"/>
      <c r="AV708" s="62"/>
      <c r="AW708" s="62"/>
      <c r="AX708" s="62"/>
      <c r="AY708" s="62"/>
      <c r="AZ708" s="62"/>
      <c r="BA708" s="62"/>
      <c r="BB708" s="62"/>
      <c r="BC708" s="62"/>
      <c r="BD708" s="62"/>
      <c r="BE708" s="62"/>
      <c r="BF708" s="62"/>
      <c r="BG708" s="62"/>
      <c r="BH708" s="62"/>
      <c r="BI708" s="62"/>
      <c r="BJ708" s="62"/>
      <c r="BK708" s="62"/>
      <c r="BL708" s="62"/>
      <c r="BM708" s="62"/>
      <c r="BN708" s="62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62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62"/>
      <c r="AF709" s="62"/>
      <c r="AG709" s="62"/>
      <c r="AH709" s="62"/>
      <c r="AI709" s="62"/>
      <c r="AJ709" s="62"/>
      <c r="AK709" s="62"/>
      <c r="AL709" s="62"/>
      <c r="AM709" s="62"/>
      <c r="AN709" s="62"/>
      <c r="AO709" s="62"/>
      <c r="AP709" s="62"/>
      <c r="AQ709" s="62"/>
      <c r="AR709" s="62"/>
      <c r="AS709" s="62"/>
      <c r="AT709" s="62"/>
      <c r="AU709" s="62"/>
      <c r="AV709" s="62"/>
      <c r="AW709" s="62"/>
      <c r="AX709" s="62"/>
      <c r="AY709" s="62"/>
      <c r="AZ709" s="62"/>
      <c r="BA709" s="62"/>
      <c r="BB709" s="62"/>
      <c r="BC709" s="62"/>
      <c r="BD709" s="62"/>
      <c r="BE709" s="62"/>
      <c r="BF709" s="62"/>
      <c r="BG709" s="62"/>
      <c r="BH709" s="62"/>
      <c r="BI709" s="62"/>
      <c r="BJ709" s="62"/>
      <c r="BK709" s="62"/>
      <c r="BL709" s="62"/>
      <c r="BM709" s="62"/>
      <c r="BN709" s="62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62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62"/>
      <c r="AF710" s="62"/>
      <c r="AG710" s="62"/>
      <c r="AH710" s="62"/>
      <c r="AI710" s="62"/>
      <c r="AJ710" s="62"/>
      <c r="AK710" s="62"/>
      <c r="AL710" s="62"/>
      <c r="AM710" s="62"/>
      <c r="AN710" s="62"/>
      <c r="AO710" s="62"/>
      <c r="AP710" s="62"/>
      <c r="AQ710" s="62"/>
      <c r="AR710" s="62"/>
      <c r="AS710" s="62"/>
      <c r="AT710" s="62"/>
      <c r="AU710" s="62"/>
      <c r="AV710" s="62"/>
      <c r="AW710" s="62"/>
      <c r="AX710" s="62"/>
      <c r="AY710" s="62"/>
      <c r="AZ710" s="62"/>
      <c r="BA710" s="62"/>
      <c r="BB710" s="62"/>
      <c r="BC710" s="62"/>
      <c r="BD710" s="62"/>
      <c r="BE710" s="62"/>
      <c r="BF710" s="62"/>
      <c r="BG710" s="62"/>
      <c r="BH710" s="62"/>
      <c r="BI710" s="62"/>
      <c r="BJ710" s="62"/>
      <c r="BK710" s="62"/>
      <c r="BL710" s="62"/>
      <c r="BM710" s="62"/>
      <c r="BN710" s="62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62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62"/>
      <c r="AF711" s="62"/>
      <c r="AG711" s="62"/>
      <c r="AH711" s="62"/>
      <c r="AI711" s="62"/>
      <c r="AJ711" s="62"/>
      <c r="AK711" s="62"/>
      <c r="AL711" s="62"/>
      <c r="AM711" s="62"/>
      <c r="AN711" s="62"/>
      <c r="AO711" s="62"/>
      <c r="AP711" s="62"/>
      <c r="AQ711" s="62"/>
      <c r="AR711" s="62"/>
      <c r="AS711" s="62"/>
      <c r="AT711" s="62"/>
      <c r="AU711" s="62"/>
      <c r="AV711" s="62"/>
      <c r="AW711" s="62"/>
      <c r="AX711" s="62"/>
      <c r="AY711" s="62"/>
      <c r="AZ711" s="62"/>
      <c r="BA711" s="62"/>
      <c r="BB711" s="62"/>
      <c r="BC711" s="62"/>
      <c r="BD711" s="62"/>
      <c r="BE711" s="62"/>
      <c r="BF711" s="62"/>
      <c r="BG711" s="62"/>
      <c r="BH711" s="62"/>
      <c r="BI711" s="62"/>
      <c r="BJ711" s="62"/>
      <c r="BK711" s="62"/>
      <c r="BL711" s="62"/>
      <c r="BM711" s="62"/>
      <c r="BN711" s="62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62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62"/>
      <c r="AF712" s="62"/>
      <c r="AG712" s="62"/>
      <c r="AH712" s="62"/>
      <c r="AI712" s="62"/>
      <c r="AJ712" s="62"/>
      <c r="AK712" s="62"/>
      <c r="AL712" s="62"/>
      <c r="AM712" s="62"/>
      <c r="AN712" s="62"/>
      <c r="AO712" s="62"/>
      <c r="AP712" s="62"/>
      <c r="AQ712" s="62"/>
      <c r="AR712" s="62"/>
      <c r="AS712" s="62"/>
      <c r="AT712" s="62"/>
      <c r="AU712" s="62"/>
      <c r="AV712" s="62"/>
      <c r="AW712" s="62"/>
      <c r="AX712" s="62"/>
      <c r="AY712" s="62"/>
      <c r="AZ712" s="62"/>
      <c r="BA712" s="62"/>
      <c r="BB712" s="62"/>
      <c r="BC712" s="62"/>
      <c r="BD712" s="62"/>
      <c r="BE712" s="62"/>
      <c r="BF712" s="62"/>
      <c r="BG712" s="62"/>
      <c r="BH712" s="62"/>
      <c r="BI712" s="62"/>
      <c r="BJ712" s="62"/>
      <c r="BK712" s="62"/>
      <c r="BL712" s="62"/>
      <c r="BM712" s="62"/>
      <c r="BN712" s="62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62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62"/>
      <c r="AF713" s="62"/>
      <c r="AG713" s="62"/>
      <c r="AH713" s="62"/>
      <c r="AI713" s="62"/>
      <c r="AJ713" s="62"/>
      <c r="AK713" s="62"/>
      <c r="AL713" s="62"/>
      <c r="AM713" s="62"/>
      <c r="AN713" s="62"/>
      <c r="AO713" s="62"/>
      <c r="AP713" s="62"/>
      <c r="AQ713" s="62"/>
      <c r="AR713" s="62"/>
      <c r="AS713" s="62"/>
      <c r="AT713" s="62"/>
      <c r="AU713" s="62"/>
      <c r="AV713" s="62"/>
      <c r="AW713" s="62"/>
      <c r="AX713" s="62"/>
      <c r="AY713" s="62"/>
      <c r="AZ713" s="62"/>
      <c r="BA713" s="62"/>
      <c r="BB713" s="62"/>
      <c r="BC713" s="62"/>
      <c r="BD713" s="62"/>
      <c r="BE713" s="62"/>
      <c r="BF713" s="62"/>
      <c r="BG713" s="62"/>
      <c r="BH713" s="62"/>
      <c r="BI713" s="62"/>
      <c r="BJ713" s="62"/>
      <c r="BK713" s="62"/>
      <c r="BL713" s="62"/>
      <c r="BM713" s="62"/>
      <c r="BN713" s="62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62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62"/>
      <c r="AF714" s="62"/>
      <c r="AG714" s="62"/>
      <c r="AH714" s="62"/>
      <c r="AI714" s="62"/>
      <c r="AJ714" s="62"/>
      <c r="AK714" s="62"/>
      <c r="AL714" s="62"/>
      <c r="AM714" s="62"/>
      <c r="AN714" s="62"/>
      <c r="AO714" s="62"/>
      <c r="AP714" s="62"/>
      <c r="AQ714" s="62"/>
      <c r="AR714" s="62"/>
      <c r="AS714" s="62"/>
      <c r="AT714" s="62"/>
      <c r="AU714" s="62"/>
      <c r="AV714" s="62"/>
      <c r="AW714" s="62"/>
      <c r="AX714" s="62"/>
      <c r="AY714" s="62"/>
      <c r="AZ714" s="62"/>
      <c r="BA714" s="62"/>
      <c r="BB714" s="62"/>
      <c r="BC714" s="62"/>
      <c r="BD714" s="62"/>
      <c r="BE714" s="62"/>
      <c r="BF714" s="62"/>
      <c r="BG714" s="62"/>
      <c r="BH714" s="62"/>
      <c r="BI714" s="62"/>
      <c r="BJ714" s="62"/>
      <c r="BK714" s="62"/>
      <c r="BL714" s="62"/>
      <c r="BM714" s="62"/>
      <c r="BN714" s="62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62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62"/>
      <c r="AF715" s="62"/>
      <c r="AG715" s="62"/>
      <c r="AH715" s="62"/>
      <c r="AI715" s="62"/>
      <c r="AJ715" s="62"/>
      <c r="AK715" s="62"/>
      <c r="AL715" s="62"/>
      <c r="AM715" s="62"/>
      <c r="AN715" s="62"/>
      <c r="AO715" s="62"/>
      <c r="AP715" s="62"/>
      <c r="AQ715" s="62"/>
      <c r="AR715" s="62"/>
      <c r="AS715" s="62"/>
      <c r="AT715" s="62"/>
      <c r="AU715" s="62"/>
      <c r="AV715" s="62"/>
      <c r="AW715" s="62"/>
      <c r="AX715" s="62"/>
      <c r="AY715" s="62"/>
      <c r="AZ715" s="62"/>
      <c r="BA715" s="62"/>
      <c r="BB715" s="62"/>
      <c r="BC715" s="62"/>
      <c r="BD715" s="62"/>
      <c r="BE715" s="62"/>
      <c r="BF715" s="62"/>
      <c r="BG715" s="62"/>
      <c r="BH715" s="62"/>
      <c r="BI715" s="62"/>
      <c r="BJ715" s="62"/>
      <c r="BK715" s="62"/>
      <c r="BL715" s="62"/>
      <c r="BM715" s="62"/>
      <c r="BN715" s="62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62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62"/>
      <c r="AF716" s="62"/>
      <c r="AG716" s="62"/>
      <c r="AH716" s="62"/>
      <c r="AI716" s="62"/>
      <c r="AJ716" s="62"/>
      <c r="AK716" s="62"/>
      <c r="AL716" s="62"/>
      <c r="AM716" s="62"/>
      <c r="AN716" s="62"/>
      <c r="AO716" s="62"/>
      <c r="AP716" s="62"/>
      <c r="AQ716" s="62"/>
      <c r="AR716" s="62"/>
      <c r="AS716" s="62"/>
      <c r="AT716" s="62"/>
      <c r="AU716" s="62"/>
      <c r="AV716" s="62"/>
      <c r="AW716" s="62"/>
      <c r="AX716" s="62"/>
      <c r="AY716" s="62"/>
      <c r="AZ716" s="62"/>
      <c r="BA716" s="62"/>
      <c r="BB716" s="62"/>
      <c r="BC716" s="62"/>
      <c r="BD716" s="62"/>
      <c r="BE716" s="62"/>
      <c r="BF716" s="62"/>
      <c r="BG716" s="62"/>
      <c r="BH716" s="62"/>
      <c r="BI716" s="62"/>
      <c r="BJ716" s="62"/>
      <c r="BK716" s="62"/>
      <c r="BL716" s="62"/>
      <c r="BM716" s="62"/>
      <c r="BN716" s="62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62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62"/>
      <c r="AF717" s="62"/>
      <c r="AG717" s="62"/>
      <c r="AH717" s="62"/>
      <c r="AI717" s="62"/>
      <c r="AJ717" s="62"/>
      <c r="AK717" s="62"/>
      <c r="AL717" s="62"/>
      <c r="AM717" s="62"/>
      <c r="AN717" s="62"/>
      <c r="AO717" s="62"/>
      <c r="AP717" s="62"/>
      <c r="AQ717" s="62"/>
      <c r="AR717" s="62"/>
      <c r="AS717" s="62"/>
      <c r="AT717" s="62"/>
      <c r="AU717" s="62"/>
      <c r="AV717" s="62"/>
      <c r="AW717" s="62"/>
      <c r="AX717" s="62"/>
      <c r="AY717" s="62"/>
      <c r="AZ717" s="62"/>
      <c r="BA717" s="62"/>
      <c r="BB717" s="62"/>
      <c r="BC717" s="62"/>
      <c r="BD717" s="62"/>
      <c r="BE717" s="62"/>
      <c r="BF717" s="62"/>
      <c r="BG717" s="62"/>
      <c r="BH717" s="62"/>
      <c r="BI717" s="62"/>
      <c r="BJ717" s="62"/>
      <c r="BK717" s="62"/>
      <c r="BL717" s="62"/>
      <c r="BM717" s="62"/>
      <c r="BN717" s="62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62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62"/>
      <c r="AF718" s="62"/>
      <c r="AG718" s="62"/>
      <c r="AH718" s="62"/>
      <c r="AI718" s="62"/>
      <c r="AJ718" s="62"/>
      <c r="AK718" s="62"/>
      <c r="AL718" s="62"/>
      <c r="AM718" s="62"/>
      <c r="AN718" s="62"/>
      <c r="AO718" s="62"/>
      <c r="AP718" s="62"/>
      <c r="AQ718" s="62"/>
      <c r="AR718" s="62"/>
      <c r="AS718" s="62"/>
      <c r="AT718" s="62"/>
      <c r="AU718" s="62"/>
      <c r="AV718" s="62"/>
      <c r="AW718" s="62"/>
      <c r="AX718" s="62"/>
      <c r="AY718" s="62"/>
      <c r="AZ718" s="62"/>
      <c r="BA718" s="62"/>
      <c r="BB718" s="62"/>
      <c r="BC718" s="62"/>
      <c r="BD718" s="62"/>
      <c r="BE718" s="62"/>
      <c r="BF718" s="62"/>
      <c r="BG718" s="62"/>
      <c r="BH718" s="62"/>
      <c r="BI718" s="62"/>
      <c r="BJ718" s="62"/>
      <c r="BK718" s="62"/>
      <c r="BL718" s="62"/>
      <c r="BM718" s="62"/>
      <c r="BN718" s="62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62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62"/>
      <c r="AF719" s="62"/>
      <c r="AG719" s="62"/>
      <c r="AH719" s="62"/>
      <c r="AI719" s="62"/>
      <c r="AJ719" s="62"/>
      <c r="AK719" s="62"/>
      <c r="AL719" s="62"/>
      <c r="AM719" s="62"/>
      <c r="AN719" s="62"/>
      <c r="AO719" s="62"/>
      <c r="AP719" s="62"/>
      <c r="AQ719" s="62"/>
      <c r="AR719" s="62"/>
      <c r="AS719" s="62"/>
      <c r="AT719" s="62"/>
      <c r="AU719" s="62"/>
      <c r="AV719" s="62"/>
      <c r="AW719" s="62"/>
      <c r="AX719" s="62"/>
      <c r="AY719" s="62"/>
      <c r="AZ719" s="62"/>
      <c r="BA719" s="62"/>
      <c r="BB719" s="62"/>
      <c r="BC719" s="62"/>
      <c r="BD719" s="62"/>
      <c r="BE719" s="62"/>
      <c r="BF719" s="62"/>
      <c r="BG719" s="62"/>
      <c r="BH719" s="62"/>
      <c r="BI719" s="62"/>
      <c r="BJ719" s="62"/>
      <c r="BK719" s="62"/>
      <c r="BL719" s="62"/>
      <c r="BM719" s="62"/>
      <c r="BN719" s="62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62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62"/>
      <c r="AF720" s="62"/>
      <c r="AG720" s="62"/>
      <c r="AH720" s="62"/>
      <c r="AI720" s="62"/>
      <c r="AJ720" s="62"/>
      <c r="AK720" s="62"/>
      <c r="AL720" s="62"/>
      <c r="AM720" s="62"/>
      <c r="AN720" s="62"/>
      <c r="AO720" s="62"/>
      <c r="AP720" s="62"/>
      <c r="AQ720" s="62"/>
      <c r="AR720" s="62"/>
      <c r="AS720" s="62"/>
      <c r="AT720" s="62"/>
      <c r="AU720" s="62"/>
      <c r="AV720" s="62"/>
      <c r="AW720" s="62"/>
      <c r="AX720" s="62"/>
      <c r="AY720" s="62"/>
      <c r="AZ720" s="62"/>
      <c r="BA720" s="62"/>
      <c r="BB720" s="62"/>
      <c r="BC720" s="62"/>
      <c r="BD720" s="62"/>
      <c r="BE720" s="62"/>
      <c r="BF720" s="62"/>
      <c r="BG720" s="62"/>
      <c r="BH720" s="62"/>
      <c r="BI720" s="62"/>
      <c r="BJ720" s="62"/>
      <c r="BK720" s="62"/>
      <c r="BL720" s="62"/>
      <c r="BM720" s="62"/>
      <c r="BN720" s="62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62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62"/>
      <c r="AF721" s="62"/>
      <c r="AG721" s="62"/>
      <c r="AH721" s="62"/>
      <c r="AI721" s="62"/>
      <c r="AJ721" s="62"/>
      <c r="AK721" s="62"/>
      <c r="AL721" s="62"/>
      <c r="AM721" s="62"/>
      <c r="AN721" s="62"/>
      <c r="AO721" s="62"/>
      <c r="AP721" s="62"/>
      <c r="AQ721" s="62"/>
      <c r="AR721" s="62"/>
      <c r="AS721" s="62"/>
      <c r="AT721" s="62"/>
      <c r="AU721" s="62"/>
      <c r="AV721" s="62"/>
      <c r="AW721" s="62"/>
      <c r="AX721" s="62"/>
      <c r="AY721" s="62"/>
      <c r="AZ721" s="62"/>
      <c r="BA721" s="62"/>
      <c r="BB721" s="62"/>
      <c r="BC721" s="62"/>
      <c r="BD721" s="62"/>
      <c r="BE721" s="62"/>
      <c r="BF721" s="62"/>
      <c r="BG721" s="62"/>
      <c r="BH721" s="62"/>
      <c r="BI721" s="62"/>
      <c r="BJ721" s="62"/>
      <c r="BK721" s="62"/>
      <c r="BL721" s="62"/>
      <c r="BM721" s="62"/>
      <c r="BN721" s="62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62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62"/>
      <c r="AF722" s="62"/>
      <c r="AG722" s="62"/>
      <c r="AH722" s="62"/>
      <c r="AI722" s="62"/>
      <c r="AJ722" s="62"/>
      <c r="AK722" s="62"/>
      <c r="AL722" s="62"/>
      <c r="AM722" s="62"/>
      <c r="AN722" s="62"/>
      <c r="AO722" s="62"/>
      <c r="AP722" s="62"/>
      <c r="AQ722" s="62"/>
      <c r="AR722" s="62"/>
      <c r="AS722" s="62"/>
      <c r="AT722" s="62"/>
      <c r="AU722" s="62"/>
      <c r="AV722" s="62"/>
      <c r="AW722" s="62"/>
      <c r="AX722" s="62"/>
      <c r="AY722" s="62"/>
      <c r="AZ722" s="62"/>
      <c r="BA722" s="62"/>
      <c r="BB722" s="62"/>
      <c r="BC722" s="62"/>
      <c r="BD722" s="62"/>
      <c r="BE722" s="62"/>
      <c r="BF722" s="62"/>
      <c r="BG722" s="62"/>
      <c r="BH722" s="62"/>
      <c r="BI722" s="62"/>
      <c r="BJ722" s="62"/>
      <c r="BK722" s="62"/>
      <c r="BL722" s="62"/>
      <c r="BM722" s="62"/>
      <c r="BN722" s="62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62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62"/>
      <c r="AF723" s="62"/>
      <c r="AG723" s="62"/>
      <c r="AH723" s="62"/>
      <c r="AI723" s="62"/>
      <c r="AJ723" s="62"/>
      <c r="AK723" s="62"/>
      <c r="AL723" s="62"/>
      <c r="AM723" s="62"/>
      <c r="AN723" s="62"/>
      <c r="AO723" s="62"/>
      <c r="AP723" s="62"/>
      <c r="AQ723" s="62"/>
      <c r="AR723" s="62"/>
      <c r="AS723" s="62"/>
      <c r="AT723" s="62"/>
      <c r="AU723" s="62"/>
      <c r="AV723" s="62"/>
      <c r="AW723" s="62"/>
      <c r="AX723" s="62"/>
      <c r="AY723" s="62"/>
      <c r="AZ723" s="62"/>
      <c r="BA723" s="62"/>
      <c r="BB723" s="62"/>
      <c r="BC723" s="62"/>
      <c r="BD723" s="62"/>
      <c r="BE723" s="62"/>
      <c r="BF723" s="62"/>
      <c r="BG723" s="62"/>
      <c r="BH723" s="62"/>
      <c r="BI723" s="62"/>
      <c r="BJ723" s="62"/>
      <c r="BK723" s="62"/>
      <c r="BL723" s="62"/>
      <c r="BM723" s="62"/>
      <c r="BN723" s="62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62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62"/>
      <c r="AF724" s="62"/>
      <c r="AG724" s="62"/>
      <c r="AH724" s="62"/>
      <c r="AI724" s="62"/>
      <c r="AJ724" s="62"/>
      <c r="AK724" s="62"/>
      <c r="AL724" s="62"/>
      <c r="AM724" s="62"/>
      <c r="AN724" s="62"/>
      <c r="AO724" s="62"/>
      <c r="AP724" s="62"/>
      <c r="AQ724" s="62"/>
      <c r="AR724" s="62"/>
      <c r="AS724" s="62"/>
      <c r="AT724" s="62"/>
      <c r="AU724" s="62"/>
      <c r="AV724" s="62"/>
      <c r="AW724" s="62"/>
      <c r="AX724" s="62"/>
      <c r="AY724" s="62"/>
      <c r="AZ724" s="62"/>
      <c r="BA724" s="62"/>
      <c r="BB724" s="62"/>
      <c r="BC724" s="62"/>
      <c r="BD724" s="62"/>
      <c r="BE724" s="62"/>
      <c r="BF724" s="62"/>
      <c r="BG724" s="62"/>
      <c r="BH724" s="62"/>
      <c r="BI724" s="62"/>
      <c r="BJ724" s="62"/>
      <c r="BK724" s="62"/>
      <c r="BL724" s="62"/>
      <c r="BM724" s="62"/>
      <c r="BN724" s="62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62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62"/>
      <c r="AF725" s="62"/>
      <c r="AG725" s="62"/>
      <c r="AH725" s="62"/>
      <c r="AI725" s="62"/>
      <c r="AJ725" s="62"/>
      <c r="AK725" s="62"/>
      <c r="AL725" s="62"/>
      <c r="AM725" s="62"/>
      <c r="AN725" s="62"/>
      <c r="AO725" s="62"/>
      <c r="AP725" s="62"/>
      <c r="AQ725" s="62"/>
      <c r="AR725" s="62"/>
      <c r="AS725" s="62"/>
      <c r="AT725" s="62"/>
      <c r="AU725" s="62"/>
      <c r="AV725" s="62"/>
      <c r="AW725" s="62"/>
      <c r="AX725" s="62"/>
      <c r="AY725" s="62"/>
      <c r="AZ725" s="62"/>
      <c r="BA725" s="62"/>
      <c r="BB725" s="62"/>
      <c r="BC725" s="62"/>
      <c r="BD725" s="62"/>
      <c r="BE725" s="62"/>
      <c r="BF725" s="62"/>
      <c r="BG725" s="62"/>
      <c r="BH725" s="62"/>
      <c r="BI725" s="62"/>
      <c r="BJ725" s="62"/>
      <c r="BK725" s="62"/>
      <c r="BL725" s="62"/>
      <c r="BM725" s="62"/>
      <c r="BN725" s="62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62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62"/>
      <c r="AF726" s="62"/>
      <c r="AG726" s="62"/>
      <c r="AH726" s="62"/>
      <c r="AI726" s="62"/>
      <c r="AJ726" s="62"/>
      <c r="AK726" s="62"/>
      <c r="AL726" s="62"/>
      <c r="AM726" s="62"/>
      <c r="AN726" s="62"/>
      <c r="AO726" s="62"/>
      <c r="AP726" s="62"/>
      <c r="AQ726" s="62"/>
      <c r="AR726" s="62"/>
      <c r="AS726" s="62"/>
      <c r="AT726" s="62"/>
      <c r="AU726" s="62"/>
      <c r="AV726" s="62"/>
      <c r="AW726" s="62"/>
      <c r="AX726" s="62"/>
      <c r="AY726" s="62"/>
      <c r="AZ726" s="62"/>
      <c r="BA726" s="62"/>
      <c r="BB726" s="62"/>
      <c r="BC726" s="62"/>
      <c r="BD726" s="62"/>
      <c r="BE726" s="62"/>
      <c r="BF726" s="62"/>
      <c r="BG726" s="62"/>
      <c r="BH726" s="62"/>
      <c r="BI726" s="62"/>
      <c r="BJ726" s="62"/>
      <c r="BK726" s="62"/>
      <c r="BL726" s="62"/>
      <c r="BM726" s="62"/>
      <c r="BN726" s="62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62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62"/>
      <c r="AF727" s="62"/>
      <c r="AG727" s="62"/>
      <c r="AH727" s="62"/>
      <c r="AI727" s="62"/>
      <c r="AJ727" s="62"/>
      <c r="AK727" s="62"/>
      <c r="AL727" s="62"/>
      <c r="AM727" s="62"/>
      <c r="AN727" s="62"/>
      <c r="AO727" s="62"/>
      <c r="AP727" s="62"/>
      <c r="AQ727" s="62"/>
      <c r="AR727" s="62"/>
      <c r="AS727" s="62"/>
      <c r="AT727" s="62"/>
      <c r="AU727" s="62"/>
      <c r="AV727" s="62"/>
      <c r="AW727" s="62"/>
      <c r="AX727" s="62"/>
      <c r="AY727" s="62"/>
      <c r="AZ727" s="62"/>
      <c r="BA727" s="62"/>
      <c r="BB727" s="62"/>
      <c r="BC727" s="62"/>
      <c r="BD727" s="62"/>
      <c r="BE727" s="62"/>
      <c r="BF727" s="62"/>
      <c r="BG727" s="62"/>
      <c r="BH727" s="62"/>
      <c r="BI727" s="62"/>
      <c r="BJ727" s="62"/>
      <c r="BK727" s="62"/>
      <c r="BL727" s="62"/>
      <c r="BM727" s="62"/>
      <c r="BN727" s="62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62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/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2"/>
      <c r="BJ728" s="62"/>
      <c r="BK728" s="62"/>
      <c r="BL728" s="62"/>
      <c r="BM728" s="62"/>
      <c r="BN728" s="62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62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2"/>
      <c r="BJ729" s="62"/>
      <c r="BK729" s="62"/>
      <c r="BL729" s="62"/>
      <c r="BM729" s="62"/>
      <c r="BN729" s="62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62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62"/>
      <c r="AF730" s="62"/>
      <c r="AG730" s="62"/>
      <c r="AH730" s="62"/>
      <c r="AI730" s="62"/>
      <c r="AJ730" s="62"/>
      <c r="AK730" s="62"/>
      <c r="AL730" s="62"/>
      <c r="AM730" s="62"/>
      <c r="AN730" s="62"/>
      <c r="AO730" s="62"/>
      <c r="AP730" s="62"/>
      <c r="AQ730" s="62"/>
      <c r="AR730" s="62"/>
      <c r="AS730" s="62"/>
      <c r="AT730" s="62"/>
      <c r="AU730" s="62"/>
      <c r="AV730" s="62"/>
      <c r="AW730" s="62"/>
      <c r="AX730" s="62"/>
      <c r="AY730" s="62"/>
      <c r="AZ730" s="62"/>
      <c r="BA730" s="62"/>
      <c r="BB730" s="62"/>
      <c r="BC730" s="62"/>
      <c r="BD730" s="62"/>
      <c r="BE730" s="62"/>
      <c r="BF730" s="62"/>
      <c r="BG730" s="62"/>
      <c r="BH730" s="62"/>
      <c r="BI730" s="62"/>
      <c r="BJ730" s="62"/>
      <c r="BK730" s="62"/>
      <c r="BL730" s="62"/>
      <c r="BM730" s="62"/>
      <c r="BN730" s="62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62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62"/>
      <c r="AF731" s="62"/>
      <c r="AG731" s="62"/>
      <c r="AH731" s="62"/>
      <c r="AI731" s="62"/>
      <c r="AJ731" s="62"/>
      <c r="AK731" s="62"/>
      <c r="AL731" s="62"/>
      <c r="AM731" s="62"/>
      <c r="AN731" s="62"/>
      <c r="AO731" s="62"/>
      <c r="AP731" s="62"/>
      <c r="AQ731" s="62"/>
      <c r="AR731" s="62"/>
      <c r="AS731" s="62"/>
      <c r="AT731" s="62"/>
      <c r="AU731" s="62"/>
      <c r="AV731" s="62"/>
      <c r="AW731" s="62"/>
      <c r="AX731" s="62"/>
      <c r="AY731" s="62"/>
      <c r="AZ731" s="62"/>
      <c r="BA731" s="62"/>
      <c r="BB731" s="62"/>
      <c r="BC731" s="62"/>
      <c r="BD731" s="62"/>
      <c r="BE731" s="62"/>
      <c r="BF731" s="62"/>
      <c r="BG731" s="62"/>
      <c r="BH731" s="62"/>
      <c r="BI731" s="62"/>
      <c r="BJ731" s="62"/>
      <c r="BK731" s="62"/>
      <c r="BL731" s="62"/>
      <c r="BM731" s="62"/>
      <c r="BN731" s="62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62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62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62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62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62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62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62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62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62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62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62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62"/>
      <c r="AF742" s="62"/>
      <c r="AG742" s="62"/>
      <c r="AH742" s="62"/>
      <c r="AI742" s="62"/>
      <c r="AJ742" s="62"/>
      <c r="AK742" s="62"/>
      <c r="AL742" s="62"/>
      <c r="AM742" s="62"/>
      <c r="AN742" s="62"/>
      <c r="AO742" s="62"/>
      <c r="AP742" s="62"/>
      <c r="AQ742" s="62"/>
      <c r="AR742" s="62"/>
      <c r="AS742" s="62"/>
      <c r="AT742" s="62"/>
      <c r="AU742" s="62"/>
      <c r="AV742" s="62"/>
      <c r="AW742" s="62"/>
      <c r="AX742" s="62"/>
      <c r="AY742" s="62"/>
      <c r="AZ742" s="62"/>
      <c r="BA742" s="62"/>
      <c r="BB742" s="62"/>
      <c r="BC742" s="62"/>
      <c r="BD742" s="62"/>
      <c r="BE742" s="62"/>
      <c r="BF742" s="62"/>
      <c r="BG742" s="62"/>
      <c r="BH742" s="62"/>
      <c r="BI742" s="62"/>
      <c r="BJ742" s="62"/>
      <c r="BK742" s="62"/>
      <c r="BL742" s="62"/>
      <c r="BM742" s="62"/>
      <c r="BN742" s="62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62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62"/>
      <c r="AF743" s="62"/>
      <c r="AG743" s="62"/>
      <c r="AH743" s="62"/>
      <c r="AI743" s="62"/>
      <c r="AJ743" s="62"/>
      <c r="AK743" s="62"/>
      <c r="AL743" s="62"/>
      <c r="AM743" s="62"/>
      <c r="AN743" s="62"/>
      <c r="AO743" s="62"/>
      <c r="AP743" s="62"/>
      <c r="AQ743" s="62"/>
      <c r="AR743" s="62"/>
      <c r="AS743" s="62"/>
      <c r="AT743" s="62"/>
      <c r="AU743" s="62"/>
      <c r="AV743" s="62"/>
      <c r="AW743" s="62"/>
      <c r="AX743" s="62"/>
      <c r="AY743" s="62"/>
      <c r="AZ743" s="62"/>
      <c r="BA743" s="62"/>
      <c r="BB743" s="62"/>
      <c r="BC743" s="62"/>
      <c r="BD743" s="62"/>
      <c r="BE743" s="62"/>
      <c r="BF743" s="62"/>
      <c r="BG743" s="62"/>
      <c r="BH743" s="62"/>
      <c r="BI743" s="62"/>
      <c r="BJ743" s="62"/>
      <c r="BK743" s="62"/>
      <c r="BL743" s="62"/>
      <c r="BM743" s="62"/>
      <c r="BN743" s="62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62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62"/>
      <c r="AF744" s="62"/>
      <c r="AG744" s="62"/>
      <c r="AH744" s="62"/>
      <c r="AI744" s="62"/>
      <c r="AJ744" s="62"/>
      <c r="AK744" s="62"/>
      <c r="AL744" s="62"/>
      <c r="AM744" s="62"/>
      <c r="AN744" s="62"/>
      <c r="AO744" s="62"/>
      <c r="AP744" s="62"/>
      <c r="AQ744" s="62"/>
      <c r="AR744" s="62"/>
      <c r="AS744" s="62"/>
      <c r="AT744" s="62"/>
      <c r="AU744" s="62"/>
      <c r="AV744" s="62"/>
      <c r="AW744" s="62"/>
      <c r="AX744" s="62"/>
      <c r="AY744" s="62"/>
      <c r="AZ744" s="62"/>
      <c r="BA744" s="62"/>
      <c r="BB744" s="62"/>
      <c r="BC744" s="62"/>
      <c r="BD744" s="62"/>
      <c r="BE744" s="62"/>
      <c r="BF744" s="62"/>
      <c r="BG744" s="62"/>
      <c r="BH744" s="62"/>
      <c r="BI744" s="62"/>
      <c r="BJ744" s="62"/>
      <c r="BK744" s="62"/>
      <c r="BL744" s="62"/>
      <c r="BM744" s="62"/>
      <c r="BN744" s="62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62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62"/>
      <c r="AF745" s="62"/>
      <c r="AG745" s="62"/>
      <c r="AH745" s="62"/>
      <c r="AI745" s="62"/>
      <c r="AJ745" s="62"/>
      <c r="AK745" s="62"/>
      <c r="AL745" s="62"/>
      <c r="AM745" s="62"/>
      <c r="AN745" s="62"/>
      <c r="AO745" s="62"/>
      <c r="AP745" s="62"/>
      <c r="AQ745" s="62"/>
      <c r="AR745" s="62"/>
      <c r="AS745" s="62"/>
      <c r="AT745" s="62"/>
      <c r="AU745" s="62"/>
      <c r="AV745" s="62"/>
      <c r="AW745" s="62"/>
      <c r="AX745" s="62"/>
      <c r="AY745" s="62"/>
      <c r="AZ745" s="62"/>
      <c r="BA745" s="62"/>
      <c r="BB745" s="62"/>
      <c r="BC745" s="62"/>
      <c r="BD745" s="62"/>
      <c r="BE745" s="62"/>
      <c r="BF745" s="62"/>
      <c r="BG745" s="62"/>
      <c r="BH745" s="62"/>
      <c r="BI745" s="62"/>
      <c r="BJ745" s="62"/>
      <c r="BK745" s="62"/>
      <c r="BL745" s="62"/>
      <c r="BM745" s="62"/>
      <c r="BN745" s="62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62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62"/>
      <c r="AF746" s="62"/>
      <c r="AG746" s="62"/>
      <c r="AH746" s="62"/>
      <c r="AI746" s="62"/>
      <c r="AJ746" s="62"/>
      <c r="AK746" s="62"/>
      <c r="AL746" s="62"/>
      <c r="AM746" s="62"/>
      <c r="AN746" s="62"/>
      <c r="AO746" s="62"/>
      <c r="AP746" s="62"/>
      <c r="AQ746" s="62"/>
      <c r="AR746" s="62"/>
      <c r="AS746" s="62"/>
      <c r="AT746" s="62"/>
      <c r="AU746" s="62"/>
      <c r="AV746" s="62"/>
      <c r="AW746" s="62"/>
      <c r="AX746" s="62"/>
      <c r="AY746" s="62"/>
      <c r="AZ746" s="62"/>
      <c r="BA746" s="62"/>
      <c r="BB746" s="62"/>
      <c r="BC746" s="62"/>
      <c r="BD746" s="62"/>
      <c r="BE746" s="62"/>
      <c r="BF746" s="62"/>
      <c r="BG746" s="62"/>
      <c r="BH746" s="62"/>
      <c r="BI746" s="62"/>
      <c r="BJ746" s="62"/>
      <c r="BK746" s="62"/>
      <c r="BL746" s="62"/>
      <c r="BM746" s="62"/>
      <c r="BN746" s="62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62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62"/>
      <c r="AF747" s="62"/>
      <c r="AG747" s="62"/>
      <c r="AH747" s="62"/>
      <c r="AI747" s="62"/>
      <c r="AJ747" s="62"/>
      <c r="AK747" s="62"/>
      <c r="AL747" s="62"/>
      <c r="AM747" s="62"/>
      <c r="AN747" s="62"/>
      <c r="AO747" s="62"/>
      <c r="AP747" s="62"/>
      <c r="AQ747" s="62"/>
      <c r="AR747" s="62"/>
      <c r="AS747" s="62"/>
      <c r="AT747" s="62"/>
      <c r="AU747" s="62"/>
      <c r="AV747" s="62"/>
      <c r="AW747" s="62"/>
      <c r="AX747" s="62"/>
      <c r="AY747" s="62"/>
      <c r="AZ747" s="62"/>
      <c r="BA747" s="62"/>
      <c r="BB747" s="62"/>
      <c r="BC747" s="62"/>
      <c r="BD747" s="62"/>
      <c r="BE747" s="62"/>
      <c r="BF747" s="62"/>
      <c r="BG747" s="62"/>
      <c r="BH747" s="62"/>
      <c r="BI747" s="62"/>
      <c r="BJ747" s="62"/>
      <c r="BK747" s="62"/>
      <c r="BL747" s="62"/>
      <c r="BM747" s="62"/>
      <c r="BN747" s="62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62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62"/>
      <c r="AF748" s="62"/>
      <c r="AG748" s="62"/>
      <c r="AH748" s="62"/>
      <c r="AI748" s="62"/>
      <c r="AJ748" s="62"/>
      <c r="AK748" s="62"/>
      <c r="AL748" s="62"/>
      <c r="AM748" s="62"/>
      <c r="AN748" s="62"/>
      <c r="AO748" s="62"/>
      <c r="AP748" s="62"/>
      <c r="AQ748" s="62"/>
      <c r="AR748" s="62"/>
      <c r="AS748" s="62"/>
      <c r="AT748" s="62"/>
      <c r="AU748" s="62"/>
      <c r="AV748" s="62"/>
      <c r="AW748" s="62"/>
      <c r="AX748" s="62"/>
      <c r="AY748" s="62"/>
      <c r="AZ748" s="62"/>
      <c r="BA748" s="62"/>
      <c r="BB748" s="62"/>
      <c r="BC748" s="62"/>
      <c r="BD748" s="62"/>
      <c r="BE748" s="62"/>
      <c r="BF748" s="62"/>
      <c r="BG748" s="62"/>
      <c r="BH748" s="62"/>
      <c r="BI748" s="62"/>
      <c r="BJ748" s="62"/>
      <c r="BK748" s="62"/>
      <c r="BL748" s="62"/>
      <c r="BM748" s="62"/>
      <c r="BN748" s="62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62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62"/>
      <c r="AF749" s="62"/>
      <c r="AG749" s="62"/>
      <c r="AH749" s="62"/>
      <c r="AI749" s="62"/>
      <c r="AJ749" s="62"/>
      <c r="AK749" s="62"/>
      <c r="AL749" s="62"/>
      <c r="AM749" s="62"/>
      <c r="AN749" s="62"/>
      <c r="AO749" s="62"/>
      <c r="AP749" s="62"/>
      <c r="AQ749" s="62"/>
      <c r="AR749" s="62"/>
      <c r="AS749" s="62"/>
      <c r="AT749" s="62"/>
      <c r="AU749" s="62"/>
      <c r="AV749" s="62"/>
      <c r="AW749" s="62"/>
      <c r="AX749" s="62"/>
      <c r="AY749" s="62"/>
      <c r="AZ749" s="62"/>
      <c r="BA749" s="62"/>
      <c r="BB749" s="62"/>
      <c r="BC749" s="62"/>
      <c r="BD749" s="62"/>
      <c r="BE749" s="62"/>
      <c r="BF749" s="62"/>
      <c r="BG749" s="62"/>
      <c r="BH749" s="62"/>
      <c r="BI749" s="62"/>
      <c r="BJ749" s="62"/>
      <c r="BK749" s="62"/>
      <c r="BL749" s="62"/>
      <c r="BM749" s="62"/>
      <c r="BN749" s="62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62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62"/>
      <c r="AF750" s="62"/>
      <c r="AG750" s="62"/>
      <c r="AH750" s="62"/>
      <c r="AI750" s="62"/>
      <c r="AJ750" s="62"/>
      <c r="AK750" s="62"/>
      <c r="AL750" s="62"/>
      <c r="AM750" s="62"/>
      <c r="AN750" s="62"/>
      <c r="AO750" s="62"/>
      <c r="AP750" s="62"/>
      <c r="AQ750" s="62"/>
      <c r="AR750" s="62"/>
      <c r="AS750" s="62"/>
      <c r="AT750" s="62"/>
      <c r="AU750" s="62"/>
      <c r="AV750" s="62"/>
      <c r="AW750" s="62"/>
      <c r="AX750" s="62"/>
      <c r="AY750" s="62"/>
      <c r="AZ750" s="62"/>
      <c r="BA750" s="62"/>
      <c r="BB750" s="62"/>
      <c r="BC750" s="62"/>
      <c r="BD750" s="62"/>
      <c r="BE750" s="62"/>
      <c r="BF750" s="62"/>
      <c r="BG750" s="62"/>
      <c r="BH750" s="62"/>
      <c r="BI750" s="62"/>
      <c r="BJ750" s="62"/>
      <c r="BK750" s="62"/>
      <c r="BL750" s="62"/>
      <c r="BM750" s="62"/>
      <c r="BN750" s="62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62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62"/>
      <c r="AF751" s="62"/>
      <c r="AG751" s="62"/>
      <c r="AH751" s="62"/>
      <c r="AI751" s="62"/>
      <c r="AJ751" s="62"/>
      <c r="AK751" s="62"/>
      <c r="AL751" s="62"/>
      <c r="AM751" s="62"/>
      <c r="AN751" s="62"/>
      <c r="AO751" s="62"/>
      <c r="AP751" s="62"/>
      <c r="AQ751" s="62"/>
      <c r="AR751" s="62"/>
      <c r="AS751" s="62"/>
      <c r="AT751" s="62"/>
      <c r="AU751" s="62"/>
      <c r="AV751" s="62"/>
      <c r="AW751" s="62"/>
      <c r="AX751" s="62"/>
      <c r="AY751" s="62"/>
      <c r="AZ751" s="62"/>
      <c r="BA751" s="62"/>
      <c r="BB751" s="62"/>
      <c r="BC751" s="62"/>
      <c r="BD751" s="62"/>
      <c r="BE751" s="62"/>
      <c r="BF751" s="62"/>
      <c r="BG751" s="62"/>
      <c r="BH751" s="62"/>
      <c r="BI751" s="62"/>
      <c r="BJ751" s="62"/>
      <c r="BK751" s="62"/>
      <c r="BL751" s="62"/>
      <c r="BM751" s="62"/>
      <c r="BN751" s="62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62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62"/>
      <c r="AF752" s="62"/>
      <c r="AG752" s="62"/>
      <c r="AH752" s="62"/>
      <c r="AI752" s="62"/>
      <c r="AJ752" s="62"/>
      <c r="AK752" s="62"/>
      <c r="AL752" s="62"/>
      <c r="AM752" s="62"/>
      <c r="AN752" s="62"/>
      <c r="AO752" s="62"/>
      <c r="AP752" s="62"/>
      <c r="AQ752" s="62"/>
      <c r="AR752" s="62"/>
      <c r="AS752" s="62"/>
      <c r="AT752" s="62"/>
      <c r="AU752" s="62"/>
      <c r="AV752" s="62"/>
      <c r="AW752" s="62"/>
      <c r="AX752" s="62"/>
      <c r="AY752" s="62"/>
      <c r="AZ752" s="62"/>
      <c r="BA752" s="62"/>
      <c r="BB752" s="62"/>
      <c r="BC752" s="62"/>
      <c r="BD752" s="62"/>
      <c r="BE752" s="62"/>
      <c r="BF752" s="62"/>
      <c r="BG752" s="62"/>
      <c r="BH752" s="62"/>
      <c r="BI752" s="62"/>
      <c r="BJ752" s="62"/>
      <c r="BK752" s="62"/>
      <c r="BL752" s="62"/>
      <c r="BM752" s="62"/>
      <c r="BN752" s="62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62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62"/>
      <c r="AF753" s="62"/>
      <c r="AG753" s="62"/>
      <c r="AH753" s="62"/>
      <c r="AI753" s="62"/>
      <c r="AJ753" s="62"/>
      <c r="AK753" s="62"/>
      <c r="AL753" s="62"/>
      <c r="AM753" s="62"/>
      <c r="AN753" s="62"/>
      <c r="AO753" s="62"/>
      <c r="AP753" s="62"/>
      <c r="AQ753" s="62"/>
      <c r="AR753" s="62"/>
      <c r="AS753" s="62"/>
      <c r="AT753" s="62"/>
      <c r="AU753" s="62"/>
      <c r="AV753" s="62"/>
      <c r="AW753" s="62"/>
      <c r="AX753" s="62"/>
      <c r="AY753" s="62"/>
      <c r="AZ753" s="62"/>
      <c r="BA753" s="62"/>
      <c r="BB753" s="62"/>
      <c r="BC753" s="62"/>
      <c r="BD753" s="62"/>
      <c r="BE753" s="62"/>
      <c r="BF753" s="62"/>
      <c r="BG753" s="62"/>
      <c r="BH753" s="62"/>
      <c r="BI753" s="62"/>
      <c r="BJ753" s="62"/>
      <c r="BK753" s="62"/>
      <c r="BL753" s="62"/>
      <c r="BM753" s="62"/>
      <c r="BN753" s="62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62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62"/>
      <c r="AF754" s="62"/>
      <c r="AG754" s="62"/>
      <c r="AH754" s="62"/>
      <c r="AI754" s="62"/>
      <c r="AJ754" s="62"/>
      <c r="AK754" s="62"/>
      <c r="AL754" s="62"/>
      <c r="AM754" s="62"/>
      <c r="AN754" s="62"/>
      <c r="AO754" s="62"/>
      <c r="AP754" s="62"/>
      <c r="AQ754" s="62"/>
      <c r="AR754" s="62"/>
      <c r="AS754" s="62"/>
      <c r="AT754" s="62"/>
      <c r="AU754" s="62"/>
      <c r="AV754" s="62"/>
      <c r="AW754" s="62"/>
      <c r="AX754" s="62"/>
      <c r="AY754" s="62"/>
      <c r="AZ754" s="62"/>
      <c r="BA754" s="62"/>
      <c r="BB754" s="62"/>
      <c r="BC754" s="62"/>
      <c r="BD754" s="62"/>
      <c r="BE754" s="62"/>
      <c r="BF754" s="62"/>
      <c r="BG754" s="62"/>
      <c r="BH754" s="62"/>
      <c r="BI754" s="62"/>
      <c r="BJ754" s="62"/>
      <c r="BK754" s="62"/>
      <c r="BL754" s="62"/>
      <c r="BM754" s="62"/>
      <c r="BN754" s="62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62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62"/>
      <c r="AF755" s="62"/>
      <c r="AG755" s="62"/>
      <c r="AH755" s="62"/>
      <c r="AI755" s="62"/>
      <c r="AJ755" s="62"/>
      <c r="AK755" s="62"/>
      <c r="AL755" s="62"/>
      <c r="AM755" s="62"/>
      <c r="AN755" s="62"/>
      <c r="AO755" s="62"/>
      <c r="AP755" s="62"/>
      <c r="AQ755" s="62"/>
      <c r="AR755" s="62"/>
      <c r="AS755" s="62"/>
      <c r="AT755" s="62"/>
      <c r="AU755" s="62"/>
      <c r="AV755" s="62"/>
      <c r="AW755" s="62"/>
      <c r="AX755" s="62"/>
      <c r="AY755" s="62"/>
      <c r="AZ755" s="62"/>
      <c r="BA755" s="62"/>
      <c r="BB755" s="62"/>
      <c r="BC755" s="62"/>
      <c r="BD755" s="62"/>
      <c r="BE755" s="62"/>
      <c r="BF755" s="62"/>
      <c r="BG755" s="62"/>
      <c r="BH755" s="62"/>
      <c r="BI755" s="62"/>
      <c r="BJ755" s="62"/>
      <c r="BK755" s="62"/>
      <c r="BL755" s="62"/>
      <c r="BM755" s="62"/>
      <c r="BN755" s="62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62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62"/>
      <c r="AF756" s="62"/>
      <c r="AG756" s="62"/>
      <c r="AH756" s="62"/>
      <c r="AI756" s="62"/>
      <c r="AJ756" s="62"/>
      <c r="AK756" s="62"/>
      <c r="AL756" s="62"/>
      <c r="AM756" s="62"/>
      <c r="AN756" s="62"/>
      <c r="AO756" s="62"/>
      <c r="AP756" s="62"/>
      <c r="AQ756" s="62"/>
      <c r="AR756" s="62"/>
      <c r="AS756" s="62"/>
      <c r="AT756" s="62"/>
      <c r="AU756" s="62"/>
      <c r="AV756" s="62"/>
      <c r="AW756" s="62"/>
      <c r="AX756" s="62"/>
      <c r="AY756" s="62"/>
      <c r="AZ756" s="62"/>
      <c r="BA756" s="62"/>
      <c r="BB756" s="62"/>
      <c r="BC756" s="62"/>
      <c r="BD756" s="62"/>
      <c r="BE756" s="62"/>
      <c r="BF756" s="62"/>
      <c r="BG756" s="62"/>
      <c r="BH756" s="62"/>
      <c r="BI756" s="62"/>
      <c r="BJ756" s="62"/>
      <c r="BK756" s="62"/>
      <c r="BL756" s="62"/>
      <c r="BM756" s="62"/>
      <c r="BN756" s="62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62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62"/>
      <c r="AF757" s="62"/>
      <c r="AG757" s="62"/>
      <c r="AH757" s="62"/>
      <c r="AI757" s="62"/>
      <c r="AJ757" s="62"/>
      <c r="AK757" s="62"/>
      <c r="AL757" s="62"/>
      <c r="AM757" s="62"/>
      <c r="AN757" s="62"/>
      <c r="AO757" s="62"/>
      <c r="AP757" s="62"/>
      <c r="AQ757" s="62"/>
      <c r="AR757" s="62"/>
      <c r="AS757" s="62"/>
      <c r="AT757" s="62"/>
      <c r="AU757" s="62"/>
      <c r="AV757" s="62"/>
      <c r="AW757" s="62"/>
      <c r="AX757" s="62"/>
      <c r="AY757" s="62"/>
      <c r="AZ757" s="62"/>
      <c r="BA757" s="62"/>
      <c r="BB757" s="62"/>
      <c r="BC757" s="62"/>
      <c r="BD757" s="62"/>
      <c r="BE757" s="62"/>
      <c r="BF757" s="62"/>
      <c r="BG757" s="62"/>
      <c r="BH757" s="62"/>
      <c r="BI757" s="62"/>
      <c r="BJ757" s="62"/>
      <c r="BK757" s="62"/>
      <c r="BL757" s="62"/>
      <c r="BM757" s="62"/>
      <c r="BN757" s="62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62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62"/>
      <c r="AF758" s="62"/>
      <c r="AG758" s="62"/>
      <c r="AH758" s="62"/>
      <c r="AI758" s="62"/>
      <c r="AJ758" s="62"/>
      <c r="AK758" s="62"/>
      <c r="AL758" s="62"/>
      <c r="AM758" s="62"/>
      <c r="AN758" s="62"/>
      <c r="AO758" s="62"/>
      <c r="AP758" s="62"/>
      <c r="AQ758" s="62"/>
      <c r="AR758" s="62"/>
      <c r="AS758" s="62"/>
      <c r="AT758" s="62"/>
      <c r="AU758" s="62"/>
      <c r="AV758" s="62"/>
      <c r="AW758" s="62"/>
      <c r="AX758" s="62"/>
      <c r="AY758" s="62"/>
      <c r="AZ758" s="62"/>
      <c r="BA758" s="62"/>
      <c r="BB758" s="62"/>
      <c r="BC758" s="62"/>
      <c r="BD758" s="62"/>
      <c r="BE758" s="62"/>
      <c r="BF758" s="62"/>
      <c r="BG758" s="62"/>
      <c r="BH758" s="62"/>
      <c r="BI758" s="62"/>
      <c r="BJ758" s="62"/>
      <c r="BK758" s="62"/>
      <c r="BL758" s="62"/>
      <c r="BM758" s="62"/>
      <c r="BN758" s="62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62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62"/>
      <c r="AF759" s="62"/>
      <c r="AG759" s="62"/>
      <c r="AH759" s="62"/>
      <c r="AI759" s="62"/>
      <c r="AJ759" s="62"/>
      <c r="AK759" s="62"/>
      <c r="AL759" s="62"/>
      <c r="AM759" s="62"/>
      <c r="AN759" s="62"/>
      <c r="AO759" s="62"/>
      <c r="AP759" s="62"/>
      <c r="AQ759" s="62"/>
      <c r="AR759" s="62"/>
      <c r="AS759" s="62"/>
      <c r="AT759" s="62"/>
      <c r="AU759" s="62"/>
      <c r="AV759" s="62"/>
      <c r="AW759" s="62"/>
      <c r="AX759" s="62"/>
      <c r="AY759" s="62"/>
      <c r="AZ759" s="62"/>
      <c r="BA759" s="62"/>
      <c r="BB759" s="62"/>
      <c r="BC759" s="62"/>
      <c r="BD759" s="62"/>
      <c r="BE759" s="62"/>
      <c r="BF759" s="62"/>
      <c r="BG759" s="62"/>
      <c r="BH759" s="62"/>
      <c r="BI759" s="62"/>
      <c r="BJ759" s="62"/>
      <c r="BK759" s="62"/>
      <c r="BL759" s="62"/>
      <c r="BM759" s="62"/>
      <c r="BN759" s="62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62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62"/>
      <c r="AF760" s="62"/>
      <c r="AG760" s="62"/>
      <c r="AH760" s="62"/>
      <c r="AI760" s="62"/>
      <c r="AJ760" s="62"/>
      <c r="AK760" s="62"/>
      <c r="AL760" s="62"/>
      <c r="AM760" s="62"/>
      <c r="AN760" s="62"/>
      <c r="AO760" s="62"/>
      <c r="AP760" s="62"/>
      <c r="AQ760" s="62"/>
      <c r="AR760" s="62"/>
      <c r="AS760" s="62"/>
      <c r="AT760" s="62"/>
      <c r="AU760" s="62"/>
      <c r="AV760" s="62"/>
      <c r="AW760" s="62"/>
      <c r="AX760" s="62"/>
      <c r="AY760" s="62"/>
      <c r="AZ760" s="62"/>
      <c r="BA760" s="62"/>
      <c r="BB760" s="62"/>
      <c r="BC760" s="62"/>
      <c r="BD760" s="62"/>
      <c r="BE760" s="62"/>
      <c r="BF760" s="62"/>
      <c r="BG760" s="62"/>
      <c r="BH760" s="62"/>
      <c r="BI760" s="62"/>
      <c r="BJ760" s="62"/>
      <c r="BK760" s="62"/>
      <c r="BL760" s="62"/>
      <c r="BM760" s="62"/>
      <c r="BN760" s="62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62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62"/>
      <c r="AF761" s="62"/>
      <c r="AG761" s="62"/>
      <c r="AH761" s="62"/>
      <c r="AI761" s="62"/>
      <c r="AJ761" s="62"/>
      <c r="AK761" s="62"/>
      <c r="AL761" s="62"/>
      <c r="AM761" s="62"/>
      <c r="AN761" s="62"/>
      <c r="AO761" s="62"/>
      <c r="AP761" s="62"/>
      <c r="AQ761" s="62"/>
      <c r="AR761" s="62"/>
      <c r="AS761" s="62"/>
      <c r="AT761" s="62"/>
      <c r="AU761" s="62"/>
      <c r="AV761" s="62"/>
      <c r="AW761" s="62"/>
      <c r="AX761" s="62"/>
      <c r="AY761" s="62"/>
      <c r="AZ761" s="62"/>
      <c r="BA761" s="62"/>
      <c r="BB761" s="62"/>
      <c r="BC761" s="62"/>
      <c r="BD761" s="62"/>
      <c r="BE761" s="62"/>
      <c r="BF761" s="62"/>
      <c r="BG761" s="62"/>
      <c r="BH761" s="62"/>
      <c r="BI761" s="62"/>
      <c r="BJ761" s="62"/>
      <c r="BK761" s="62"/>
      <c r="BL761" s="62"/>
      <c r="BM761" s="62"/>
      <c r="BN761" s="62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62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62"/>
      <c r="AF762" s="62"/>
      <c r="AG762" s="62"/>
      <c r="AH762" s="62"/>
      <c r="AI762" s="62"/>
      <c r="AJ762" s="62"/>
      <c r="AK762" s="62"/>
      <c r="AL762" s="62"/>
      <c r="AM762" s="62"/>
      <c r="AN762" s="62"/>
      <c r="AO762" s="62"/>
      <c r="AP762" s="62"/>
      <c r="AQ762" s="62"/>
      <c r="AR762" s="62"/>
      <c r="AS762" s="62"/>
      <c r="AT762" s="62"/>
      <c r="AU762" s="62"/>
      <c r="AV762" s="62"/>
      <c r="AW762" s="62"/>
      <c r="AX762" s="62"/>
      <c r="AY762" s="62"/>
      <c r="AZ762" s="62"/>
      <c r="BA762" s="62"/>
      <c r="BB762" s="62"/>
      <c r="BC762" s="62"/>
      <c r="BD762" s="62"/>
      <c r="BE762" s="62"/>
      <c r="BF762" s="62"/>
      <c r="BG762" s="62"/>
      <c r="BH762" s="62"/>
      <c r="BI762" s="62"/>
      <c r="BJ762" s="62"/>
      <c r="BK762" s="62"/>
      <c r="BL762" s="62"/>
      <c r="BM762" s="62"/>
      <c r="BN762" s="62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62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62"/>
      <c r="AF763" s="62"/>
      <c r="AG763" s="62"/>
      <c r="AH763" s="62"/>
      <c r="AI763" s="62"/>
      <c r="AJ763" s="62"/>
      <c r="AK763" s="62"/>
      <c r="AL763" s="62"/>
      <c r="AM763" s="62"/>
      <c r="AN763" s="62"/>
      <c r="AO763" s="62"/>
      <c r="AP763" s="62"/>
      <c r="AQ763" s="62"/>
      <c r="AR763" s="62"/>
      <c r="AS763" s="62"/>
      <c r="AT763" s="62"/>
      <c r="AU763" s="62"/>
      <c r="AV763" s="62"/>
      <c r="AW763" s="62"/>
      <c r="AX763" s="62"/>
      <c r="AY763" s="62"/>
      <c r="AZ763" s="62"/>
      <c r="BA763" s="62"/>
      <c r="BB763" s="62"/>
      <c r="BC763" s="62"/>
      <c r="BD763" s="62"/>
      <c r="BE763" s="62"/>
      <c r="BF763" s="62"/>
      <c r="BG763" s="62"/>
      <c r="BH763" s="62"/>
      <c r="BI763" s="62"/>
      <c r="BJ763" s="62"/>
      <c r="BK763" s="62"/>
      <c r="BL763" s="62"/>
      <c r="BM763" s="62"/>
      <c r="BN763" s="62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62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62"/>
      <c r="AF764" s="62"/>
      <c r="AG764" s="62"/>
      <c r="AH764" s="62"/>
      <c r="AI764" s="62"/>
      <c r="AJ764" s="62"/>
      <c r="AK764" s="62"/>
      <c r="AL764" s="62"/>
      <c r="AM764" s="62"/>
      <c r="AN764" s="62"/>
      <c r="AO764" s="62"/>
      <c r="AP764" s="62"/>
      <c r="AQ764" s="62"/>
      <c r="AR764" s="62"/>
      <c r="AS764" s="62"/>
      <c r="AT764" s="62"/>
      <c r="AU764" s="62"/>
      <c r="AV764" s="62"/>
      <c r="AW764" s="62"/>
      <c r="AX764" s="62"/>
      <c r="AY764" s="62"/>
      <c r="AZ764" s="62"/>
      <c r="BA764" s="62"/>
      <c r="BB764" s="62"/>
      <c r="BC764" s="62"/>
      <c r="BD764" s="62"/>
      <c r="BE764" s="62"/>
      <c r="BF764" s="62"/>
      <c r="BG764" s="62"/>
      <c r="BH764" s="62"/>
      <c r="BI764" s="62"/>
      <c r="BJ764" s="62"/>
      <c r="BK764" s="62"/>
      <c r="BL764" s="62"/>
      <c r="BM764" s="62"/>
      <c r="BN764" s="62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62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62"/>
      <c r="AF765" s="62"/>
      <c r="AG765" s="62"/>
      <c r="AH765" s="62"/>
      <c r="AI765" s="62"/>
      <c r="AJ765" s="62"/>
      <c r="AK765" s="62"/>
      <c r="AL765" s="62"/>
      <c r="AM765" s="62"/>
      <c r="AN765" s="62"/>
      <c r="AO765" s="62"/>
      <c r="AP765" s="62"/>
      <c r="AQ765" s="62"/>
      <c r="AR765" s="62"/>
      <c r="AS765" s="62"/>
      <c r="AT765" s="62"/>
      <c r="AU765" s="62"/>
      <c r="AV765" s="62"/>
      <c r="AW765" s="62"/>
      <c r="AX765" s="62"/>
      <c r="AY765" s="62"/>
      <c r="AZ765" s="62"/>
      <c r="BA765" s="62"/>
      <c r="BB765" s="62"/>
      <c r="BC765" s="62"/>
      <c r="BD765" s="62"/>
      <c r="BE765" s="62"/>
      <c r="BF765" s="62"/>
      <c r="BG765" s="62"/>
      <c r="BH765" s="62"/>
      <c r="BI765" s="62"/>
      <c r="BJ765" s="62"/>
      <c r="BK765" s="62"/>
      <c r="BL765" s="62"/>
      <c r="BM765" s="62"/>
      <c r="BN765" s="62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62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/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2"/>
      <c r="BJ766" s="62"/>
      <c r="BK766" s="62"/>
      <c r="BL766" s="62"/>
      <c r="BM766" s="62"/>
      <c r="BN766" s="62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62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2"/>
      <c r="BJ767" s="62"/>
      <c r="BK767" s="62"/>
      <c r="BL767" s="62"/>
      <c r="BM767" s="62"/>
      <c r="BN767" s="62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62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62"/>
      <c r="AF768" s="62"/>
      <c r="AG768" s="62"/>
      <c r="AH768" s="62"/>
      <c r="AI768" s="62"/>
      <c r="AJ768" s="62"/>
      <c r="AK768" s="62"/>
      <c r="AL768" s="62"/>
      <c r="AM768" s="62"/>
      <c r="AN768" s="62"/>
      <c r="AO768" s="62"/>
      <c r="AP768" s="62"/>
      <c r="AQ768" s="62"/>
      <c r="AR768" s="62"/>
      <c r="AS768" s="62"/>
      <c r="AT768" s="62"/>
      <c r="AU768" s="62"/>
      <c r="AV768" s="62"/>
      <c r="AW768" s="62"/>
      <c r="AX768" s="62"/>
      <c r="AY768" s="62"/>
      <c r="AZ768" s="62"/>
      <c r="BA768" s="62"/>
      <c r="BB768" s="62"/>
      <c r="BC768" s="62"/>
      <c r="BD768" s="62"/>
      <c r="BE768" s="62"/>
      <c r="BF768" s="62"/>
      <c r="BG768" s="62"/>
      <c r="BH768" s="62"/>
      <c r="BI768" s="62"/>
      <c r="BJ768" s="62"/>
      <c r="BK768" s="62"/>
      <c r="BL768" s="62"/>
      <c r="BM768" s="62"/>
      <c r="BN768" s="62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62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62"/>
      <c r="AF769" s="62"/>
      <c r="AG769" s="62"/>
      <c r="AH769" s="62"/>
      <c r="AI769" s="62"/>
      <c r="AJ769" s="62"/>
      <c r="AK769" s="62"/>
      <c r="AL769" s="62"/>
      <c r="AM769" s="62"/>
      <c r="AN769" s="62"/>
      <c r="AO769" s="62"/>
      <c r="AP769" s="62"/>
      <c r="AQ769" s="62"/>
      <c r="AR769" s="62"/>
      <c r="AS769" s="62"/>
      <c r="AT769" s="62"/>
      <c r="AU769" s="62"/>
      <c r="AV769" s="62"/>
      <c r="AW769" s="62"/>
      <c r="AX769" s="62"/>
      <c r="AY769" s="62"/>
      <c r="AZ769" s="62"/>
      <c r="BA769" s="62"/>
      <c r="BB769" s="62"/>
      <c r="BC769" s="62"/>
      <c r="BD769" s="62"/>
      <c r="BE769" s="62"/>
      <c r="BF769" s="62"/>
      <c r="BG769" s="62"/>
      <c r="BH769" s="62"/>
      <c r="BI769" s="62"/>
      <c r="BJ769" s="62"/>
      <c r="BK769" s="62"/>
      <c r="BL769" s="62"/>
      <c r="BM769" s="62"/>
      <c r="BN769" s="62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62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62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62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62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62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62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62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62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62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62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62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62"/>
      <c r="AF780" s="62"/>
      <c r="AG780" s="62"/>
      <c r="AH780" s="62"/>
      <c r="AI780" s="62"/>
      <c r="AJ780" s="62"/>
      <c r="AK780" s="62"/>
      <c r="AL780" s="62"/>
      <c r="AM780" s="62"/>
      <c r="AN780" s="62"/>
      <c r="AO780" s="62"/>
      <c r="AP780" s="62"/>
      <c r="AQ780" s="62"/>
      <c r="AR780" s="62"/>
      <c r="AS780" s="62"/>
      <c r="AT780" s="62"/>
      <c r="AU780" s="62"/>
      <c r="AV780" s="62"/>
      <c r="AW780" s="62"/>
      <c r="AX780" s="62"/>
      <c r="AY780" s="62"/>
      <c r="AZ780" s="62"/>
      <c r="BA780" s="62"/>
      <c r="BB780" s="62"/>
      <c r="BC780" s="62"/>
      <c r="BD780" s="62"/>
      <c r="BE780" s="62"/>
      <c r="BF780" s="62"/>
      <c r="BG780" s="62"/>
      <c r="BH780" s="62"/>
      <c r="BI780" s="62"/>
      <c r="BJ780" s="62"/>
      <c r="BK780" s="62"/>
      <c r="BL780" s="62"/>
      <c r="BM780" s="62"/>
      <c r="BN780" s="62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62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62"/>
      <c r="AF781" s="62"/>
      <c r="AG781" s="62"/>
      <c r="AH781" s="62"/>
      <c r="AI781" s="62"/>
      <c r="AJ781" s="62"/>
      <c r="AK781" s="62"/>
      <c r="AL781" s="62"/>
      <c r="AM781" s="62"/>
      <c r="AN781" s="62"/>
      <c r="AO781" s="62"/>
      <c r="AP781" s="62"/>
      <c r="AQ781" s="62"/>
      <c r="AR781" s="62"/>
      <c r="AS781" s="62"/>
      <c r="AT781" s="62"/>
      <c r="AU781" s="62"/>
      <c r="AV781" s="62"/>
      <c r="AW781" s="62"/>
      <c r="AX781" s="62"/>
      <c r="AY781" s="62"/>
      <c r="AZ781" s="62"/>
      <c r="BA781" s="62"/>
      <c r="BB781" s="62"/>
      <c r="BC781" s="62"/>
      <c r="BD781" s="62"/>
      <c r="BE781" s="62"/>
      <c r="BF781" s="62"/>
      <c r="BG781" s="62"/>
      <c r="BH781" s="62"/>
      <c r="BI781" s="62"/>
      <c r="BJ781" s="62"/>
      <c r="BK781" s="62"/>
      <c r="BL781" s="62"/>
      <c r="BM781" s="62"/>
      <c r="BN781" s="62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62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62"/>
      <c r="AF782" s="62"/>
      <c r="AG782" s="62"/>
      <c r="AH782" s="62"/>
      <c r="AI782" s="62"/>
      <c r="AJ782" s="62"/>
      <c r="AK782" s="62"/>
      <c r="AL782" s="62"/>
      <c r="AM782" s="62"/>
      <c r="AN782" s="62"/>
      <c r="AO782" s="62"/>
      <c r="AP782" s="62"/>
      <c r="AQ782" s="62"/>
      <c r="AR782" s="62"/>
      <c r="AS782" s="62"/>
      <c r="AT782" s="62"/>
      <c r="AU782" s="62"/>
      <c r="AV782" s="62"/>
      <c r="AW782" s="62"/>
      <c r="AX782" s="62"/>
      <c r="AY782" s="62"/>
      <c r="AZ782" s="62"/>
      <c r="BA782" s="62"/>
      <c r="BB782" s="62"/>
      <c r="BC782" s="62"/>
      <c r="BD782" s="62"/>
      <c r="BE782" s="62"/>
      <c r="BF782" s="62"/>
      <c r="BG782" s="62"/>
      <c r="BH782" s="62"/>
      <c r="BI782" s="62"/>
      <c r="BJ782" s="62"/>
      <c r="BK782" s="62"/>
      <c r="BL782" s="62"/>
      <c r="BM782" s="62"/>
      <c r="BN782" s="62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62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62"/>
      <c r="AF783" s="62"/>
      <c r="AG783" s="62"/>
      <c r="AH783" s="62"/>
      <c r="AI783" s="62"/>
      <c r="AJ783" s="62"/>
      <c r="AK783" s="62"/>
      <c r="AL783" s="62"/>
      <c r="AM783" s="62"/>
      <c r="AN783" s="62"/>
      <c r="AO783" s="62"/>
      <c r="AP783" s="62"/>
      <c r="AQ783" s="62"/>
      <c r="AR783" s="62"/>
      <c r="AS783" s="62"/>
      <c r="AT783" s="62"/>
      <c r="AU783" s="62"/>
      <c r="AV783" s="62"/>
      <c r="AW783" s="62"/>
      <c r="AX783" s="62"/>
      <c r="AY783" s="62"/>
      <c r="AZ783" s="62"/>
      <c r="BA783" s="62"/>
      <c r="BB783" s="62"/>
      <c r="BC783" s="62"/>
      <c r="BD783" s="62"/>
      <c r="BE783" s="62"/>
      <c r="BF783" s="62"/>
      <c r="BG783" s="62"/>
      <c r="BH783" s="62"/>
      <c r="BI783" s="62"/>
      <c r="BJ783" s="62"/>
      <c r="BK783" s="62"/>
      <c r="BL783" s="62"/>
      <c r="BM783" s="62"/>
      <c r="BN783" s="62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62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62"/>
      <c r="AF784" s="62"/>
      <c r="AG784" s="62"/>
      <c r="AH784" s="62"/>
      <c r="AI784" s="62"/>
      <c r="AJ784" s="62"/>
      <c r="AK784" s="62"/>
      <c r="AL784" s="62"/>
      <c r="AM784" s="62"/>
      <c r="AN784" s="62"/>
      <c r="AO784" s="62"/>
      <c r="AP784" s="62"/>
      <c r="AQ784" s="62"/>
      <c r="AR784" s="62"/>
      <c r="AS784" s="62"/>
      <c r="AT784" s="62"/>
      <c r="AU784" s="62"/>
      <c r="AV784" s="62"/>
      <c r="AW784" s="62"/>
      <c r="AX784" s="62"/>
      <c r="AY784" s="62"/>
      <c r="AZ784" s="62"/>
      <c r="BA784" s="62"/>
      <c r="BB784" s="62"/>
      <c r="BC784" s="62"/>
      <c r="BD784" s="62"/>
      <c r="BE784" s="62"/>
      <c r="BF784" s="62"/>
      <c r="BG784" s="62"/>
      <c r="BH784" s="62"/>
      <c r="BI784" s="62"/>
      <c r="BJ784" s="62"/>
      <c r="BK784" s="62"/>
      <c r="BL784" s="62"/>
      <c r="BM784" s="62"/>
      <c r="BN784" s="62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62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62"/>
      <c r="AF785" s="62"/>
      <c r="AG785" s="62"/>
      <c r="AH785" s="62"/>
      <c r="AI785" s="62"/>
      <c r="AJ785" s="62"/>
      <c r="AK785" s="62"/>
      <c r="AL785" s="62"/>
      <c r="AM785" s="62"/>
      <c r="AN785" s="62"/>
      <c r="AO785" s="62"/>
      <c r="AP785" s="62"/>
      <c r="AQ785" s="62"/>
      <c r="AR785" s="62"/>
      <c r="AS785" s="62"/>
      <c r="AT785" s="62"/>
      <c r="AU785" s="62"/>
      <c r="AV785" s="62"/>
      <c r="AW785" s="62"/>
      <c r="AX785" s="62"/>
      <c r="AY785" s="62"/>
      <c r="AZ785" s="62"/>
      <c r="BA785" s="62"/>
      <c r="BB785" s="62"/>
      <c r="BC785" s="62"/>
      <c r="BD785" s="62"/>
      <c r="BE785" s="62"/>
      <c r="BF785" s="62"/>
      <c r="BG785" s="62"/>
      <c r="BH785" s="62"/>
      <c r="BI785" s="62"/>
      <c r="BJ785" s="62"/>
      <c r="BK785" s="62"/>
      <c r="BL785" s="62"/>
      <c r="BM785" s="62"/>
      <c r="BN785" s="62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62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62"/>
      <c r="AF786" s="62"/>
      <c r="AG786" s="62"/>
      <c r="AH786" s="62"/>
      <c r="AI786" s="62"/>
      <c r="AJ786" s="62"/>
      <c r="AK786" s="62"/>
      <c r="AL786" s="62"/>
      <c r="AM786" s="62"/>
      <c r="AN786" s="62"/>
      <c r="AO786" s="62"/>
      <c r="AP786" s="62"/>
      <c r="AQ786" s="62"/>
      <c r="AR786" s="62"/>
      <c r="AS786" s="62"/>
      <c r="AT786" s="62"/>
      <c r="AU786" s="62"/>
      <c r="AV786" s="62"/>
      <c r="AW786" s="62"/>
      <c r="AX786" s="62"/>
      <c r="AY786" s="62"/>
      <c r="AZ786" s="62"/>
      <c r="BA786" s="62"/>
      <c r="BB786" s="62"/>
      <c r="BC786" s="62"/>
      <c r="BD786" s="62"/>
      <c r="BE786" s="62"/>
      <c r="BF786" s="62"/>
      <c r="BG786" s="62"/>
      <c r="BH786" s="62"/>
      <c r="BI786" s="62"/>
      <c r="BJ786" s="62"/>
      <c r="BK786" s="62"/>
      <c r="BL786" s="62"/>
      <c r="BM786" s="62"/>
      <c r="BN786" s="62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62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62"/>
      <c r="AF787" s="62"/>
      <c r="AG787" s="62"/>
      <c r="AH787" s="62"/>
      <c r="AI787" s="62"/>
      <c r="AJ787" s="62"/>
      <c r="AK787" s="62"/>
      <c r="AL787" s="62"/>
      <c r="AM787" s="62"/>
      <c r="AN787" s="62"/>
      <c r="AO787" s="62"/>
      <c r="AP787" s="62"/>
      <c r="AQ787" s="62"/>
      <c r="AR787" s="62"/>
      <c r="AS787" s="62"/>
      <c r="AT787" s="62"/>
      <c r="AU787" s="62"/>
      <c r="AV787" s="62"/>
      <c r="AW787" s="62"/>
      <c r="AX787" s="62"/>
      <c r="AY787" s="62"/>
      <c r="AZ787" s="62"/>
      <c r="BA787" s="62"/>
      <c r="BB787" s="62"/>
      <c r="BC787" s="62"/>
      <c r="BD787" s="62"/>
      <c r="BE787" s="62"/>
      <c r="BF787" s="62"/>
      <c r="BG787" s="62"/>
      <c r="BH787" s="62"/>
      <c r="BI787" s="62"/>
      <c r="BJ787" s="62"/>
      <c r="BK787" s="62"/>
      <c r="BL787" s="62"/>
      <c r="BM787" s="62"/>
      <c r="BN787" s="62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62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62"/>
      <c r="AF788" s="62"/>
      <c r="AG788" s="62"/>
      <c r="AH788" s="62"/>
      <c r="AI788" s="62"/>
      <c r="AJ788" s="62"/>
      <c r="AK788" s="62"/>
      <c r="AL788" s="62"/>
      <c r="AM788" s="62"/>
      <c r="AN788" s="62"/>
      <c r="AO788" s="62"/>
      <c r="AP788" s="62"/>
      <c r="AQ788" s="62"/>
      <c r="AR788" s="62"/>
      <c r="AS788" s="62"/>
      <c r="AT788" s="62"/>
      <c r="AU788" s="62"/>
      <c r="AV788" s="62"/>
      <c r="AW788" s="62"/>
      <c r="AX788" s="62"/>
      <c r="AY788" s="62"/>
      <c r="AZ788" s="62"/>
      <c r="BA788" s="62"/>
      <c r="BB788" s="62"/>
      <c r="BC788" s="62"/>
      <c r="BD788" s="62"/>
      <c r="BE788" s="62"/>
      <c r="BF788" s="62"/>
      <c r="BG788" s="62"/>
      <c r="BH788" s="62"/>
      <c r="BI788" s="62"/>
      <c r="BJ788" s="62"/>
      <c r="BK788" s="62"/>
      <c r="BL788" s="62"/>
      <c r="BM788" s="62"/>
      <c r="BN788" s="62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62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62"/>
      <c r="AF789" s="62"/>
      <c r="AG789" s="62"/>
      <c r="AH789" s="62"/>
      <c r="AI789" s="62"/>
      <c r="AJ789" s="62"/>
      <c r="AK789" s="62"/>
      <c r="AL789" s="62"/>
      <c r="AM789" s="62"/>
      <c r="AN789" s="62"/>
      <c r="AO789" s="62"/>
      <c r="AP789" s="62"/>
      <c r="AQ789" s="62"/>
      <c r="AR789" s="62"/>
      <c r="AS789" s="62"/>
      <c r="AT789" s="62"/>
      <c r="AU789" s="62"/>
      <c r="AV789" s="62"/>
      <c r="AW789" s="62"/>
      <c r="AX789" s="62"/>
      <c r="AY789" s="62"/>
      <c r="AZ789" s="62"/>
      <c r="BA789" s="62"/>
      <c r="BB789" s="62"/>
      <c r="BC789" s="62"/>
      <c r="BD789" s="62"/>
      <c r="BE789" s="62"/>
      <c r="BF789" s="62"/>
      <c r="BG789" s="62"/>
      <c r="BH789" s="62"/>
      <c r="BI789" s="62"/>
      <c r="BJ789" s="62"/>
      <c r="BK789" s="62"/>
      <c r="BL789" s="62"/>
      <c r="BM789" s="62"/>
      <c r="BN789" s="62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62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62"/>
      <c r="AF790" s="62"/>
      <c r="AG790" s="62"/>
      <c r="AH790" s="62"/>
      <c r="AI790" s="62"/>
      <c r="AJ790" s="62"/>
      <c r="AK790" s="62"/>
      <c r="AL790" s="62"/>
      <c r="AM790" s="62"/>
      <c r="AN790" s="62"/>
      <c r="AO790" s="62"/>
      <c r="AP790" s="62"/>
      <c r="AQ790" s="62"/>
      <c r="AR790" s="62"/>
      <c r="AS790" s="62"/>
      <c r="AT790" s="62"/>
      <c r="AU790" s="62"/>
      <c r="AV790" s="62"/>
      <c r="AW790" s="62"/>
      <c r="AX790" s="62"/>
      <c r="AY790" s="62"/>
      <c r="AZ790" s="62"/>
      <c r="BA790" s="62"/>
      <c r="BB790" s="62"/>
      <c r="BC790" s="62"/>
      <c r="BD790" s="62"/>
      <c r="BE790" s="62"/>
      <c r="BF790" s="62"/>
      <c r="BG790" s="62"/>
      <c r="BH790" s="62"/>
      <c r="BI790" s="62"/>
      <c r="BJ790" s="62"/>
      <c r="BK790" s="62"/>
      <c r="BL790" s="62"/>
      <c r="BM790" s="62"/>
      <c r="BN790" s="62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62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62"/>
      <c r="AF791" s="62"/>
      <c r="AG791" s="62"/>
      <c r="AH791" s="62"/>
      <c r="AI791" s="62"/>
      <c r="AJ791" s="62"/>
      <c r="AK791" s="62"/>
      <c r="AL791" s="62"/>
      <c r="AM791" s="62"/>
      <c r="AN791" s="62"/>
      <c r="AO791" s="62"/>
      <c r="AP791" s="62"/>
      <c r="AQ791" s="62"/>
      <c r="AR791" s="62"/>
      <c r="AS791" s="62"/>
      <c r="AT791" s="62"/>
      <c r="AU791" s="62"/>
      <c r="AV791" s="62"/>
      <c r="AW791" s="62"/>
      <c r="AX791" s="62"/>
      <c r="AY791" s="62"/>
      <c r="AZ791" s="62"/>
      <c r="BA791" s="62"/>
      <c r="BB791" s="62"/>
      <c r="BC791" s="62"/>
      <c r="BD791" s="62"/>
      <c r="BE791" s="62"/>
      <c r="BF791" s="62"/>
      <c r="BG791" s="62"/>
      <c r="BH791" s="62"/>
      <c r="BI791" s="62"/>
      <c r="BJ791" s="62"/>
      <c r="BK791" s="62"/>
      <c r="BL791" s="62"/>
      <c r="BM791" s="62"/>
      <c r="BN791" s="62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62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62"/>
      <c r="AF792" s="62"/>
      <c r="AG792" s="62"/>
      <c r="AH792" s="62"/>
      <c r="AI792" s="62"/>
      <c r="AJ792" s="62"/>
      <c r="AK792" s="62"/>
      <c r="AL792" s="62"/>
      <c r="AM792" s="62"/>
      <c r="AN792" s="62"/>
      <c r="AO792" s="62"/>
      <c r="AP792" s="62"/>
      <c r="AQ792" s="62"/>
      <c r="AR792" s="62"/>
      <c r="AS792" s="62"/>
      <c r="AT792" s="62"/>
      <c r="AU792" s="62"/>
      <c r="AV792" s="62"/>
      <c r="AW792" s="62"/>
      <c r="AX792" s="62"/>
      <c r="AY792" s="62"/>
      <c r="AZ792" s="62"/>
      <c r="BA792" s="62"/>
      <c r="BB792" s="62"/>
      <c r="BC792" s="62"/>
      <c r="BD792" s="62"/>
      <c r="BE792" s="62"/>
      <c r="BF792" s="62"/>
      <c r="BG792" s="62"/>
      <c r="BH792" s="62"/>
      <c r="BI792" s="62"/>
      <c r="BJ792" s="62"/>
      <c r="BK792" s="62"/>
      <c r="BL792" s="62"/>
      <c r="BM792" s="62"/>
      <c r="BN792" s="62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62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62"/>
      <c r="AF793" s="62"/>
      <c r="AG793" s="62"/>
      <c r="AH793" s="62"/>
      <c r="AI793" s="62"/>
      <c r="AJ793" s="62"/>
      <c r="AK793" s="62"/>
      <c r="AL793" s="62"/>
      <c r="AM793" s="62"/>
      <c r="AN793" s="62"/>
      <c r="AO793" s="62"/>
      <c r="AP793" s="62"/>
      <c r="AQ793" s="62"/>
      <c r="AR793" s="62"/>
      <c r="AS793" s="62"/>
      <c r="AT793" s="62"/>
      <c r="AU793" s="62"/>
      <c r="AV793" s="62"/>
      <c r="AW793" s="62"/>
      <c r="AX793" s="62"/>
      <c r="AY793" s="62"/>
      <c r="AZ793" s="62"/>
      <c r="BA793" s="62"/>
      <c r="BB793" s="62"/>
      <c r="BC793" s="62"/>
      <c r="BD793" s="62"/>
      <c r="BE793" s="62"/>
      <c r="BF793" s="62"/>
      <c r="BG793" s="62"/>
      <c r="BH793" s="62"/>
      <c r="BI793" s="62"/>
      <c r="BJ793" s="62"/>
      <c r="BK793" s="62"/>
      <c r="BL793" s="62"/>
      <c r="BM793" s="62"/>
      <c r="BN793" s="62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62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62"/>
      <c r="AF794" s="62"/>
      <c r="AG794" s="62"/>
      <c r="AH794" s="62"/>
      <c r="AI794" s="62"/>
      <c r="AJ794" s="62"/>
      <c r="AK794" s="62"/>
      <c r="AL794" s="62"/>
      <c r="AM794" s="62"/>
      <c r="AN794" s="62"/>
      <c r="AO794" s="62"/>
      <c r="AP794" s="62"/>
      <c r="AQ794" s="62"/>
      <c r="AR794" s="62"/>
      <c r="AS794" s="62"/>
      <c r="AT794" s="62"/>
      <c r="AU794" s="62"/>
      <c r="AV794" s="62"/>
      <c r="AW794" s="62"/>
      <c r="AX794" s="62"/>
      <c r="AY794" s="62"/>
      <c r="AZ794" s="62"/>
      <c r="BA794" s="62"/>
      <c r="BB794" s="62"/>
      <c r="BC794" s="62"/>
      <c r="BD794" s="62"/>
      <c r="BE794" s="62"/>
      <c r="BF794" s="62"/>
      <c r="BG794" s="62"/>
      <c r="BH794" s="62"/>
      <c r="BI794" s="62"/>
      <c r="BJ794" s="62"/>
      <c r="BK794" s="62"/>
      <c r="BL794" s="62"/>
      <c r="BM794" s="62"/>
      <c r="BN794" s="62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62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62"/>
      <c r="AF795" s="62"/>
      <c r="AG795" s="62"/>
      <c r="AH795" s="62"/>
      <c r="AI795" s="62"/>
      <c r="AJ795" s="62"/>
      <c r="AK795" s="62"/>
      <c r="AL795" s="62"/>
      <c r="AM795" s="62"/>
      <c r="AN795" s="62"/>
      <c r="AO795" s="62"/>
      <c r="AP795" s="62"/>
      <c r="AQ795" s="62"/>
      <c r="AR795" s="62"/>
      <c r="AS795" s="62"/>
      <c r="AT795" s="62"/>
      <c r="AU795" s="62"/>
      <c r="AV795" s="62"/>
      <c r="AW795" s="62"/>
      <c r="AX795" s="62"/>
      <c r="AY795" s="62"/>
      <c r="AZ795" s="62"/>
      <c r="BA795" s="62"/>
      <c r="BB795" s="62"/>
      <c r="BC795" s="62"/>
      <c r="BD795" s="62"/>
      <c r="BE795" s="62"/>
      <c r="BF795" s="62"/>
      <c r="BG795" s="62"/>
      <c r="BH795" s="62"/>
      <c r="BI795" s="62"/>
      <c r="BJ795" s="62"/>
      <c r="BK795" s="62"/>
      <c r="BL795" s="62"/>
      <c r="BM795" s="62"/>
      <c r="BN795" s="62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62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62"/>
      <c r="AF796" s="62"/>
      <c r="AG796" s="62"/>
      <c r="AH796" s="62"/>
      <c r="AI796" s="62"/>
      <c r="AJ796" s="62"/>
      <c r="AK796" s="62"/>
      <c r="AL796" s="62"/>
      <c r="AM796" s="62"/>
      <c r="AN796" s="62"/>
      <c r="AO796" s="62"/>
      <c r="AP796" s="62"/>
      <c r="AQ796" s="62"/>
      <c r="AR796" s="62"/>
      <c r="AS796" s="62"/>
      <c r="AT796" s="62"/>
      <c r="AU796" s="62"/>
      <c r="AV796" s="62"/>
      <c r="AW796" s="62"/>
      <c r="AX796" s="62"/>
      <c r="AY796" s="62"/>
      <c r="AZ796" s="62"/>
      <c r="BA796" s="62"/>
      <c r="BB796" s="62"/>
      <c r="BC796" s="62"/>
      <c r="BD796" s="62"/>
      <c r="BE796" s="62"/>
      <c r="BF796" s="62"/>
      <c r="BG796" s="62"/>
      <c r="BH796" s="62"/>
      <c r="BI796" s="62"/>
      <c r="BJ796" s="62"/>
      <c r="BK796" s="62"/>
      <c r="BL796" s="62"/>
      <c r="BM796" s="62"/>
      <c r="BN796" s="62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62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62"/>
      <c r="AF797" s="62"/>
      <c r="AG797" s="62"/>
      <c r="AH797" s="62"/>
      <c r="AI797" s="62"/>
      <c r="AJ797" s="62"/>
      <c r="AK797" s="62"/>
      <c r="AL797" s="62"/>
      <c r="AM797" s="62"/>
      <c r="AN797" s="62"/>
      <c r="AO797" s="62"/>
      <c r="AP797" s="62"/>
      <c r="AQ797" s="62"/>
      <c r="AR797" s="62"/>
      <c r="AS797" s="62"/>
      <c r="AT797" s="62"/>
      <c r="AU797" s="62"/>
      <c r="AV797" s="62"/>
      <c r="AW797" s="62"/>
      <c r="AX797" s="62"/>
      <c r="AY797" s="62"/>
      <c r="AZ797" s="62"/>
      <c r="BA797" s="62"/>
      <c r="BB797" s="62"/>
      <c r="BC797" s="62"/>
      <c r="BD797" s="62"/>
      <c r="BE797" s="62"/>
      <c r="BF797" s="62"/>
      <c r="BG797" s="62"/>
      <c r="BH797" s="62"/>
      <c r="BI797" s="62"/>
      <c r="BJ797" s="62"/>
      <c r="BK797" s="62"/>
      <c r="BL797" s="62"/>
      <c r="BM797" s="62"/>
      <c r="BN797" s="62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62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62"/>
      <c r="AF798" s="62"/>
      <c r="AG798" s="62"/>
      <c r="AH798" s="62"/>
      <c r="AI798" s="62"/>
      <c r="AJ798" s="62"/>
      <c r="AK798" s="62"/>
      <c r="AL798" s="62"/>
      <c r="AM798" s="62"/>
      <c r="AN798" s="62"/>
      <c r="AO798" s="62"/>
      <c r="AP798" s="62"/>
      <c r="AQ798" s="62"/>
      <c r="AR798" s="62"/>
      <c r="AS798" s="62"/>
      <c r="AT798" s="62"/>
      <c r="AU798" s="62"/>
      <c r="AV798" s="62"/>
      <c r="AW798" s="62"/>
      <c r="AX798" s="62"/>
      <c r="AY798" s="62"/>
      <c r="AZ798" s="62"/>
      <c r="BA798" s="62"/>
      <c r="BB798" s="62"/>
      <c r="BC798" s="62"/>
      <c r="BD798" s="62"/>
      <c r="BE798" s="62"/>
      <c r="BF798" s="62"/>
      <c r="BG798" s="62"/>
      <c r="BH798" s="62"/>
      <c r="BI798" s="62"/>
      <c r="BJ798" s="62"/>
      <c r="BK798" s="62"/>
      <c r="BL798" s="62"/>
      <c r="BM798" s="62"/>
      <c r="BN798" s="62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62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62"/>
      <c r="AF799" s="62"/>
      <c r="AG799" s="62"/>
      <c r="AH799" s="62"/>
      <c r="AI799" s="62"/>
      <c r="AJ799" s="62"/>
      <c r="AK799" s="62"/>
      <c r="AL799" s="62"/>
      <c r="AM799" s="62"/>
      <c r="AN799" s="62"/>
      <c r="AO799" s="62"/>
      <c r="AP799" s="62"/>
      <c r="AQ799" s="62"/>
      <c r="AR799" s="62"/>
      <c r="AS799" s="62"/>
      <c r="AT799" s="62"/>
      <c r="AU799" s="62"/>
      <c r="AV799" s="62"/>
      <c r="AW799" s="62"/>
      <c r="AX799" s="62"/>
      <c r="AY799" s="62"/>
      <c r="AZ799" s="62"/>
      <c r="BA799" s="62"/>
      <c r="BB799" s="62"/>
      <c r="BC799" s="62"/>
      <c r="BD799" s="62"/>
      <c r="BE799" s="62"/>
      <c r="BF799" s="62"/>
      <c r="BG799" s="62"/>
      <c r="BH799" s="62"/>
      <c r="BI799" s="62"/>
      <c r="BJ799" s="62"/>
      <c r="BK799" s="62"/>
      <c r="BL799" s="62"/>
      <c r="BM799" s="62"/>
      <c r="BN799" s="62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62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62"/>
      <c r="AF800" s="62"/>
      <c r="AG800" s="62"/>
      <c r="AH800" s="62"/>
      <c r="AI800" s="62"/>
      <c r="AJ800" s="62"/>
      <c r="AK800" s="62"/>
      <c r="AL800" s="62"/>
      <c r="AM800" s="62"/>
      <c r="AN800" s="62"/>
      <c r="AO800" s="62"/>
      <c r="AP800" s="62"/>
      <c r="AQ800" s="62"/>
      <c r="AR800" s="62"/>
      <c r="AS800" s="62"/>
      <c r="AT800" s="62"/>
      <c r="AU800" s="62"/>
      <c r="AV800" s="62"/>
      <c r="AW800" s="62"/>
      <c r="AX800" s="62"/>
      <c r="AY800" s="62"/>
      <c r="AZ800" s="62"/>
      <c r="BA800" s="62"/>
      <c r="BB800" s="62"/>
      <c r="BC800" s="62"/>
      <c r="BD800" s="62"/>
      <c r="BE800" s="62"/>
      <c r="BF800" s="62"/>
      <c r="BG800" s="62"/>
      <c r="BH800" s="62"/>
      <c r="BI800" s="62"/>
      <c r="BJ800" s="62"/>
      <c r="BK800" s="62"/>
      <c r="BL800" s="62"/>
      <c r="BM800" s="62"/>
      <c r="BN800" s="62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62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62"/>
      <c r="AF801" s="62"/>
      <c r="AG801" s="62"/>
      <c r="AH801" s="62"/>
      <c r="AI801" s="62"/>
      <c r="AJ801" s="62"/>
      <c r="AK801" s="62"/>
      <c r="AL801" s="62"/>
      <c r="AM801" s="62"/>
      <c r="AN801" s="62"/>
      <c r="AO801" s="62"/>
      <c r="AP801" s="62"/>
      <c r="AQ801" s="62"/>
      <c r="AR801" s="62"/>
      <c r="AS801" s="62"/>
      <c r="AT801" s="62"/>
      <c r="AU801" s="62"/>
      <c r="AV801" s="62"/>
      <c r="AW801" s="62"/>
      <c r="AX801" s="62"/>
      <c r="AY801" s="62"/>
      <c r="AZ801" s="62"/>
      <c r="BA801" s="62"/>
      <c r="BB801" s="62"/>
      <c r="BC801" s="62"/>
      <c r="BD801" s="62"/>
      <c r="BE801" s="62"/>
      <c r="BF801" s="62"/>
      <c r="BG801" s="62"/>
      <c r="BH801" s="62"/>
      <c r="BI801" s="62"/>
      <c r="BJ801" s="62"/>
      <c r="BK801" s="62"/>
      <c r="BL801" s="62"/>
      <c r="BM801" s="62"/>
      <c r="BN801" s="62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62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62"/>
      <c r="AF802" s="62"/>
      <c r="AG802" s="62"/>
      <c r="AH802" s="62"/>
      <c r="AI802" s="62"/>
      <c r="AJ802" s="62"/>
      <c r="AK802" s="62"/>
      <c r="AL802" s="62"/>
      <c r="AM802" s="62"/>
      <c r="AN802" s="62"/>
      <c r="AO802" s="62"/>
      <c r="AP802" s="62"/>
      <c r="AQ802" s="62"/>
      <c r="AR802" s="62"/>
      <c r="AS802" s="62"/>
      <c r="AT802" s="62"/>
      <c r="AU802" s="62"/>
      <c r="AV802" s="62"/>
      <c r="AW802" s="62"/>
      <c r="AX802" s="62"/>
      <c r="AY802" s="62"/>
      <c r="AZ802" s="62"/>
      <c r="BA802" s="62"/>
      <c r="BB802" s="62"/>
      <c r="BC802" s="62"/>
      <c r="BD802" s="62"/>
      <c r="BE802" s="62"/>
      <c r="BF802" s="62"/>
      <c r="BG802" s="62"/>
      <c r="BH802" s="62"/>
      <c r="BI802" s="62"/>
      <c r="BJ802" s="62"/>
      <c r="BK802" s="62"/>
      <c r="BL802" s="62"/>
      <c r="BM802" s="62"/>
      <c r="BN802" s="62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62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62"/>
      <c r="AF803" s="62"/>
      <c r="AG803" s="62"/>
      <c r="AH803" s="62"/>
      <c r="AI803" s="62"/>
      <c r="AJ803" s="62"/>
      <c r="AK803" s="62"/>
      <c r="AL803" s="62"/>
      <c r="AM803" s="62"/>
      <c r="AN803" s="62"/>
      <c r="AO803" s="62"/>
      <c r="AP803" s="62"/>
      <c r="AQ803" s="62"/>
      <c r="AR803" s="62"/>
      <c r="AS803" s="62"/>
      <c r="AT803" s="62"/>
      <c r="AU803" s="62"/>
      <c r="AV803" s="62"/>
      <c r="AW803" s="62"/>
      <c r="AX803" s="62"/>
      <c r="AY803" s="62"/>
      <c r="AZ803" s="62"/>
      <c r="BA803" s="62"/>
      <c r="BB803" s="62"/>
      <c r="BC803" s="62"/>
      <c r="BD803" s="62"/>
      <c r="BE803" s="62"/>
      <c r="BF803" s="62"/>
      <c r="BG803" s="62"/>
      <c r="BH803" s="62"/>
      <c r="BI803" s="62"/>
      <c r="BJ803" s="62"/>
      <c r="BK803" s="62"/>
      <c r="BL803" s="62"/>
      <c r="BM803" s="62"/>
      <c r="BN803" s="62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62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/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2"/>
      <c r="BJ804" s="62"/>
      <c r="BK804" s="62"/>
      <c r="BL804" s="62"/>
      <c r="BM804" s="62"/>
      <c r="BN804" s="62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62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2"/>
      <c r="BJ805" s="62"/>
      <c r="BK805" s="62"/>
      <c r="BL805" s="62"/>
      <c r="BM805" s="62"/>
      <c r="BN805" s="62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62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62"/>
      <c r="AF806" s="62"/>
      <c r="AG806" s="62"/>
      <c r="AH806" s="62"/>
      <c r="AI806" s="62"/>
      <c r="AJ806" s="62"/>
      <c r="AK806" s="62"/>
      <c r="AL806" s="62"/>
      <c r="AM806" s="62"/>
      <c r="AN806" s="62"/>
      <c r="AO806" s="62"/>
      <c r="AP806" s="62"/>
      <c r="AQ806" s="62"/>
      <c r="AR806" s="62"/>
      <c r="AS806" s="62"/>
      <c r="AT806" s="62"/>
      <c r="AU806" s="62"/>
      <c r="AV806" s="62"/>
      <c r="AW806" s="62"/>
      <c r="AX806" s="62"/>
      <c r="AY806" s="62"/>
      <c r="AZ806" s="62"/>
      <c r="BA806" s="62"/>
      <c r="BB806" s="62"/>
      <c r="BC806" s="62"/>
      <c r="BD806" s="62"/>
      <c r="BE806" s="62"/>
      <c r="BF806" s="62"/>
      <c r="BG806" s="62"/>
      <c r="BH806" s="62"/>
      <c r="BI806" s="62"/>
      <c r="BJ806" s="62"/>
      <c r="BK806" s="62"/>
      <c r="BL806" s="62"/>
      <c r="BM806" s="62"/>
      <c r="BN806" s="62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62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62"/>
      <c r="AF807" s="62"/>
      <c r="AG807" s="62"/>
      <c r="AH807" s="62"/>
      <c r="AI807" s="62"/>
      <c r="AJ807" s="62"/>
      <c r="AK807" s="62"/>
      <c r="AL807" s="62"/>
      <c r="AM807" s="62"/>
      <c r="AN807" s="62"/>
      <c r="AO807" s="62"/>
      <c r="AP807" s="62"/>
      <c r="AQ807" s="62"/>
      <c r="AR807" s="62"/>
      <c r="AS807" s="62"/>
      <c r="AT807" s="62"/>
      <c r="AU807" s="62"/>
      <c r="AV807" s="62"/>
      <c r="AW807" s="62"/>
      <c r="AX807" s="62"/>
      <c r="AY807" s="62"/>
      <c r="AZ807" s="62"/>
      <c r="BA807" s="62"/>
      <c r="BB807" s="62"/>
      <c r="BC807" s="62"/>
      <c r="BD807" s="62"/>
      <c r="BE807" s="62"/>
      <c r="BF807" s="62"/>
      <c r="BG807" s="62"/>
      <c r="BH807" s="62"/>
      <c r="BI807" s="62"/>
      <c r="BJ807" s="62"/>
      <c r="BK807" s="62"/>
      <c r="BL807" s="62"/>
      <c r="BM807" s="62"/>
      <c r="BN807" s="62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62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62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62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62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62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62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62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62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62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62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62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62"/>
      <c r="AF818" s="62"/>
      <c r="AG818" s="62"/>
      <c r="AH818" s="62"/>
      <c r="AI818" s="62"/>
      <c r="AJ818" s="62"/>
      <c r="AK818" s="62"/>
      <c r="AL818" s="62"/>
      <c r="AM818" s="62"/>
      <c r="AN818" s="62"/>
      <c r="AO818" s="62"/>
      <c r="AP818" s="62"/>
      <c r="AQ818" s="62"/>
      <c r="AR818" s="62"/>
      <c r="AS818" s="62"/>
      <c r="AT818" s="62"/>
      <c r="AU818" s="62"/>
      <c r="AV818" s="62"/>
      <c r="AW818" s="62"/>
      <c r="AX818" s="62"/>
      <c r="AY818" s="62"/>
      <c r="AZ818" s="62"/>
      <c r="BA818" s="62"/>
      <c r="BB818" s="62"/>
      <c r="BC818" s="62"/>
      <c r="BD818" s="62"/>
      <c r="BE818" s="62"/>
      <c r="BF818" s="62"/>
      <c r="BG818" s="62"/>
      <c r="BH818" s="62"/>
      <c r="BI818" s="62"/>
      <c r="BJ818" s="62"/>
      <c r="BK818" s="62"/>
      <c r="BL818" s="62"/>
      <c r="BM818" s="62"/>
      <c r="BN818" s="62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62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62"/>
      <c r="AF819" s="62"/>
      <c r="AG819" s="62"/>
      <c r="AH819" s="62"/>
      <c r="AI819" s="62"/>
      <c r="AJ819" s="62"/>
      <c r="AK819" s="62"/>
      <c r="AL819" s="62"/>
      <c r="AM819" s="62"/>
      <c r="AN819" s="62"/>
      <c r="AO819" s="62"/>
      <c r="AP819" s="62"/>
      <c r="AQ819" s="62"/>
      <c r="AR819" s="62"/>
      <c r="AS819" s="62"/>
      <c r="AT819" s="62"/>
      <c r="AU819" s="62"/>
      <c r="AV819" s="62"/>
      <c r="AW819" s="62"/>
      <c r="AX819" s="62"/>
      <c r="AY819" s="62"/>
      <c r="AZ819" s="62"/>
      <c r="BA819" s="62"/>
      <c r="BB819" s="62"/>
      <c r="BC819" s="62"/>
      <c r="BD819" s="62"/>
      <c r="BE819" s="62"/>
      <c r="BF819" s="62"/>
      <c r="BG819" s="62"/>
      <c r="BH819" s="62"/>
      <c r="BI819" s="62"/>
      <c r="BJ819" s="62"/>
      <c r="BK819" s="62"/>
      <c r="BL819" s="62"/>
      <c r="BM819" s="62"/>
      <c r="BN819" s="62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62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62"/>
      <c r="AF820" s="62"/>
      <c r="AG820" s="62"/>
      <c r="AH820" s="62"/>
      <c r="AI820" s="62"/>
      <c r="AJ820" s="62"/>
      <c r="AK820" s="62"/>
      <c r="AL820" s="62"/>
      <c r="AM820" s="62"/>
      <c r="AN820" s="62"/>
      <c r="AO820" s="62"/>
      <c r="AP820" s="62"/>
      <c r="AQ820" s="62"/>
      <c r="AR820" s="62"/>
      <c r="AS820" s="62"/>
      <c r="AT820" s="62"/>
      <c r="AU820" s="62"/>
      <c r="AV820" s="62"/>
      <c r="AW820" s="62"/>
      <c r="AX820" s="62"/>
      <c r="AY820" s="62"/>
      <c r="AZ820" s="62"/>
      <c r="BA820" s="62"/>
      <c r="BB820" s="62"/>
      <c r="BC820" s="62"/>
      <c r="BD820" s="62"/>
      <c r="BE820" s="62"/>
      <c r="BF820" s="62"/>
      <c r="BG820" s="62"/>
      <c r="BH820" s="62"/>
      <c r="BI820" s="62"/>
      <c r="BJ820" s="62"/>
      <c r="BK820" s="62"/>
      <c r="BL820" s="62"/>
      <c r="BM820" s="62"/>
      <c r="BN820" s="62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62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62"/>
      <c r="AF821" s="62"/>
      <c r="AG821" s="62"/>
      <c r="AH821" s="62"/>
      <c r="AI821" s="62"/>
      <c r="AJ821" s="62"/>
      <c r="AK821" s="62"/>
      <c r="AL821" s="62"/>
      <c r="AM821" s="62"/>
      <c r="AN821" s="62"/>
      <c r="AO821" s="62"/>
      <c r="AP821" s="62"/>
      <c r="AQ821" s="62"/>
      <c r="AR821" s="62"/>
      <c r="AS821" s="62"/>
      <c r="AT821" s="62"/>
      <c r="AU821" s="62"/>
      <c r="AV821" s="62"/>
      <c r="AW821" s="62"/>
      <c r="AX821" s="62"/>
      <c r="AY821" s="62"/>
      <c r="AZ821" s="62"/>
      <c r="BA821" s="62"/>
      <c r="BB821" s="62"/>
      <c r="BC821" s="62"/>
      <c r="BD821" s="62"/>
      <c r="BE821" s="62"/>
      <c r="BF821" s="62"/>
      <c r="BG821" s="62"/>
      <c r="BH821" s="62"/>
      <c r="BI821" s="62"/>
      <c r="BJ821" s="62"/>
      <c r="BK821" s="62"/>
      <c r="BL821" s="62"/>
      <c r="BM821" s="62"/>
      <c r="BN821" s="62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62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62"/>
      <c r="AF822" s="62"/>
      <c r="AG822" s="62"/>
      <c r="AH822" s="62"/>
      <c r="AI822" s="62"/>
      <c r="AJ822" s="62"/>
      <c r="AK822" s="62"/>
      <c r="AL822" s="62"/>
      <c r="AM822" s="62"/>
      <c r="AN822" s="62"/>
      <c r="AO822" s="62"/>
      <c r="AP822" s="62"/>
      <c r="AQ822" s="62"/>
      <c r="AR822" s="62"/>
      <c r="AS822" s="62"/>
      <c r="AT822" s="62"/>
      <c r="AU822" s="62"/>
      <c r="AV822" s="62"/>
      <c r="AW822" s="62"/>
      <c r="AX822" s="62"/>
      <c r="AY822" s="62"/>
      <c r="AZ822" s="62"/>
      <c r="BA822" s="62"/>
      <c r="BB822" s="62"/>
      <c r="BC822" s="62"/>
      <c r="BD822" s="62"/>
      <c r="BE822" s="62"/>
      <c r="BF822" s="62"/>
      <c r="BG822" s="62"/>
      <c r="BH822" s="62"/>
      <c r="BI822" s="62"/>
      <c r="BJ822" s="62"/>
      <c r="BK822" s="62"/>
      <c r="BL822" s="62"/>
      <c r="BM822" s="62"/>
      <c r="BN822" s="62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62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62"/>
      <c r="AF823" s="62"/>
      <c r="AG823" s="62"/>
      <c r="AH823" s="62"/>
      <c r="AI823" s="62"/>
      <c r="AJ823" s="62"/>
      <c r="AK823" s="62"/>
      <c r="AL823" s="62"/>
      <c r="AM823" s="62"/>
      <c r="AN823" s="62"/>
      <c r="AO823" s="62"/>
      <c r="AP823" s="62"/>
      <c r="AQ823" s="62"/>
      <c r="AR823" s="62"/>
      <c r="AS823" s="62"/>
      <c r="AT823" s="62"/>
      <c r="AU823" s="62"/>
      <c r="AV823" s="62"/>
      <c r="AW823" s="62"/>
      <c r="AX823" s="62"/>
      <c r="AY823" s="62"/>
      <c r="AZ823" s="62"/>
      <c r="BA823" s="62"/>
      <c r="BB823" s="62"/>
      <c r="BC823" s="62"/>
      <c r="BD823" s="62"/>
      <c r="BE823" s="62"/>
      <c r="BF823" s="62"/>
      <c r="BG823" s="62"/>
      <c r="BH823" s="62"/>
      <c r="BI823" s="62"/>
      <c r="BJ823" s="62"/>
      <c r="BK823" s="62"/>
      <c r="BL823" s="62"/>
      <c r="BM823" s="62"/>
      <c r="BN823" s="62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62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62"/>
      <c r="AF824" s="62"/>
      <c r="AG824" s="62"/>
      <c r="AH824" s="62"/>
      <c r="AI824" s="62"/>
      <c r="AJ824" s="62"/>
      <c r="AK824" s="62"/>
      <c r="AL824" s="62"/>
      <c r="AM824" s="62"/>
      <c r="AN824" s="62"/>
      <c r="AO824" s="62"/>
      <c r="AP824" s="62"/>
      <c r="AQ824" s="62"/>
      <c r="AR824" s="62"/>
      <c r="AS824" s="62"/>
      <c r="AT824" s="62"/>
      <c r="AU824" s="62"/>
      <c r="AV824" s="62"/>
      <c r="AW824" s="62"/>
      <c r="AX824" s="62"/>
      <c r="AY824" s="62"/>
      <c r="AZ824" s="62"/>
      <c r="BA824" s="62"/>
      <c r="BB824" s="62"/>
      <c r="BC824" s="62"/>
      <c r="BD824" s="62"/>
      <c r="BE824" s="62"/>
      <c r="BF824" s="62"/>
      <c r="BG824" s="62"/>
      <c r="BH824" s="62"/>
      <c r="BI824" s="62"/>
      <c r="BJ824" s="62"/>
      <c r="BK824" s="62"/>
      <c r="BL824" s="62"/>
      <c r="BM824" s="62"/>
      <c r="BN824" s="62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62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62"/>
      <c r="AF825" s="62"/>
      <c r="AG825" s="62"/>
      <c r="AH825" s="62"/>
      <c r="AI825" s="62"/>
      <c r="AJ825" s="62"/>
      <c r="AK825" s="62"/>
      <c r="AL825" s="62"/>
      <c r="AM825" s="62"/>
      <c r="AN825" s="62"/>
      <c r="AO825" s="62"/>
      <c r="AP825" s="62"/>
      <c r="AQ825" s="62"/>
      <c r="AR825" s="62"/>
      <c r="AS825" s="62"/>
      <c r="AT825" s="62"/>
      <c r="AU825" s="62"/>
      <c r="AV825" s="62"/>
      <c r="AW825" s="62"/>
      <c r="AX825" s="62"/>
      <c r="AY825" s="62"/>
      <c r="AZ825" s="62"/>
      <c r="BA825" s="62"/>
      <c r="BB825" s="62"/>
      <c r="BC825" s="62"/>
      <c r="BD825" s="62"/>
      <c r="BE825" s="62"/>
      <c r="BF825" s="62"/>
      <c r="BG825" s="62"/>
      <c r="BH825" s="62"/>
      <c r="BI825" s="62"/>
      <c r="BJ825" s="62"/>
      <c r="BK825" s="62"/>
      <c r="BL825" s="62"/>
      <c r="BM825" s="62"/>
      <c r="BN825" s="62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62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62"/>
      <c r="AF826" s="62"/>
      <c r="AG826" s="62"/>
      <c r="AH826" s="62"/>
      <c r="AI826" s="62"/>
      <c r="AJ826" s="62"/>
      <c r="AK826" s="62"/>
      <c r="AL826" s="62"/>
      <c r="AM826" s="62"/>
      <c r="AN826" s="62"/>
      <c r="AO826" s="62"/>
      <c r="AP826" s="62"/>
      <c r="AQ826" s="62"/>
      <c r="AR826" s="62"/>
      <c r="AS826" s="62"/>
      <c r="AT826" s="62"/>
      <c r="AU826" s="62"/>
      <c r="AV826" s="62"/>
      <c r="AW826" s="62"/>
      <c r="AX826" s="62"/>
      <c r="AY826" s="62"/>
      <c r="AZ826" s="62"/>
      <c r="BA826" s="62"/>
      <c r="BB826" s="62"/>
      <c r="BC826" s="62"/>
      <c r="BD826" s="62"/>
      <c r="BE826" s="62"/>
      <c r="BF826" s="62"/>
      <c r="BG826" s="62"/>
      <c r="BH826" s="62"/>
      <c r="BI826" s="62"/>
      <c r="BJ826" s="62"/>
      <c r="BK826" s="62"/>
      <c r="BL826" s="62"/>
      <c r="BM826" s="62"/>
      <c r="BN826" s="62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62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62"/>
      <c r="AF827" s="62"/>
      <c r="AG827" s="62"/>
      <c r="AH827" s="62"/>
      <c r="AI827" s="62"/>
      <c r="AJ827" s="62"/>
      <c r="AK827" s="62"/>
      <c r="AL827" s="62"/>
      <c r="AM827" s="62"/>
      <c r="AN827" s="62"/>
      <c r="AO827" s="62"/>
      <c r="AP827" s="62"/>
      <c r="AQ827" s="62"/>
      <c r="AR827" s="62"/>
      <c r="AS827" s="62"/>
      <c r="AT827" s="62"/>
      <c r="AU827" s="62"/>
      <c r="AV827" s="62"/>
      <c r="AW827" s="62"/>
      <c r="AX827" s="62"/>
      <c r="AY827" s="62"/>
      <c r="AZ827" s="62"/>
      <c r="BA827" s="62"/>
      <c r="BB827" s="62"/>
      <c r="BC827" s="62"/>
      <c r="BD827" s="62"/>
      <c r="BE827" s="62"/>
      <c r="BF827" s="62"/>
      <c r="BG827" s="62"/>
      <c r="BH827" s="62"/>
      <c r="BI827" s="62"/>
      <c r="BJ827" s="62"/>
      <c r="BK827" s="62"/>
      <c r="BL827" s="62"/>
      <c r="BM827" s="62"/>
      <c r="BN827" s="62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62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62"/>
      <c r="AF828" s="62"/>
      <c r="AG828" s="62"/>
      <c r="AH828" s="62"/>
      <c r="AI828" s="62"/>
      <c r="AJ828" s="62"/>
      <c r="AK828" s="62"/>
      <c r="AL828" s="62"/>
      <c r="AM828" s="62"/>
      <c r="AN828" s="62"/>
      <c r="AO828" s="62"/>
      <c r="AP828" s="62"/>
      <c r="AQ828" s="62"/>
      <c r="AR828" s="62"/>
      <c r="AS828" s="62"/>
      <c r="AT828" s="62"/>
      <c r="AU828" s="62"/>
      <c r="AV828" s="62"/>
      <c r="AW828" s="62"/>
      <c r="AX828" s="62"/>
      <c r="AY828" s="62"/>
      <c r="AZ828" s="62"/>
      <c r="BA828" s="62"/>
      <c r="BB828" s="62"/>
      <c r="BC828" s="62"/>
      <c r="BD828" s="62"/>
      <c r="BE828" s="62"/>
      <c r="BF828" s="62"/>
      <c r="BG828" s="62"/>
      <c r="BH828" s="62"/>
      <c r="BI828" s="62"/>
      <c r="BJ828" s="62"/>
      <c r="BK828" s="62"/>
      <c r="BL828" s="62"/>
      <c r="BM828" s="62"/>
      <c r="BN828" s="62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62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62"/>
      <c r="AF829" s="62"/>
      <c r="AG829" s="62"/>
      <c r="AH829" s="62"/>
      <c r="AI829" s="62"/>
      <c r="AJ829" s="62"/>
      <c r="AK829" s="62"/>
      <c r="AL829" s="62"/>
      <c r="AM829" s="62"/>
      <c r="AN829" s="62"/>
      <c r="AO829" s="62"/>
      <c r="AP829" s="62"/>
      <c r="AQ829" s="62"/>
      <c r="AR829" s="62"/>
      <c r="AS829" s="62"/>
      <c r="AT829" s="62"/>
      <c r="AU829" s="62"/>
      <c r="AV829" s="62"/>
      <c r="AW829" s="62"/>
      <c r="AX829" s="62"/>
      <c r="AY829" s="62"/>
      <c r="AZ829" s="62"/>
      <c r="BA829" s="62"/>
      <c r="BB829" s="62"/>
      <c r="BC829" s="62"/>
      <c r="BD829" s="62"/>
      <c r="BE829" s="62"/>
      <c r="BF829" s="62"/>
      <c r="BG829" s="62"/>
      <c r="BH829" s="62"/>
      <c r="BI829" s="62"/>
      <c r="BJ829" s="62"/>
      <c r="BK829" s="62"/>
      <c r="BL829" s="62"/>
      <c r="BM829" s="62"/>
      <c r="BN829" s="62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62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62"/>
      <c r="AF830" s="62"/>
      <c r="AG830" s="62"/>
      <c r="AH830" s="62"/>
      <c r="AI830" s="62"/>
      <c r="AJ830" s="62"/>
      <c r="AK830" s="62"/>
      <c r="AL830" s="62"/>
      <c r="AM830" s="62"/>
      <c r="AN830" s="62"/>
      <c r="AO830" s="62"/>
      <c r="AP830" s="62"/>
      <c r="AQ830" s="62"/>
      <c r="AR830" s="62"/>
      <c r="AS830" s="62"/>
      <c r="AT830" s="62"/>
      <c r="AU830" s="62"/>
      <c r="AV830" s="62"/>
      <c r="AW830" s="62"/>
      <c r="AX830" s="62"/>
      <c r="AY830" s="62"/>
      <c r="AZ830" s="62"/>
      <c r="BA830" s="62"/>
      <c r="BB830" s="62"/>
      <c r="BC830" s="62"/>
      <c r="BD830" s="62"/>
      <c r="BE830" s="62"/>
      <c r="BF830" s="62"/>
      <c r="BG830" s="62"/>
      <c r="BH830" s="62"/>
      <c r="BI830" s="62"/>
      <c r="BJ830" s="62"/>
      <c r="BK830" s="62"/>
      <c r="BL830" s="62"/>
      <c r="BM830" s="62"/>
      <c r="BN830" s="62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62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62"/>
      <c r="AF831" s="62"/>
      <c r="AG831" s="62"/>
      <c r="AH831" s="62"/>
      <c r="AI831" s="62"/>
      <c r="AJ831" s="62"/>
      <c r="AK831" s="62"/>
      <c r="AL831" s="62"/>
      <c r="AM831" s="62"/>
      <c r="AN831" s="62"/>
      <c r="AO831" s="62"/>
      <c r="AP831" s="62"/>
      <c r="AQ831" s="62"/>
      <c r="AR831" s="62"/>
      <c r="AS831" s="62"/>
      <c r="AT831" s="62"/>
      <c r="AU831" s="62"/>
      <c r="AV831" s="62"/>
      <c r="AW831" s="62"/>
      <c r="AX831" s="62"/>
      <c r="AY831" s="62"/>
      <c r="AZ831" s="62"/>
      <c r="BA831" s="62"/>
      <c r="BB831" s="62"/>
      <c r="BC831" s="62"/>
      <c r="BD831" s="62"/>
      <c r="BE831" s="62"/>
      <c r="BF831" s="62"/>
      <c r="BG831" s="62"/>
      <c r="BH831" s="62"/>
      <c r="BI831" s="62"/>
      <c r="BJ831" s="62"/>
      <c r="BK831" s="62"/>
      <c r="BL831" s="62"/>
      <c r="BM831" s="62"/>
      <c r="BN831" s="62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62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62"/>
      <c r="AF832" s="62"/>
      <c r="AG832" s="62"/>
      <c r="AH832" s="62"/>
      <c r="AI832" s="62"/>
      <c r="AJ832" s="62"/>
      <c r="AK832" s="62"/>
      <c r="AL832" s="62"/>
      <c r="AM832" s="62"/>
      <c r="AN832" s="62"/>
      <c r="AO832" s="62"/>
      <c r="AP832" s="62"/>
      <c r="AQ832" s="62"/>
      <c r="AR832" s="62"/>
      <c r="AS832" s="62"/>
      <c r="AT832" s="62"/>
      <c r="AU832" s="62"/>
      <c r="AV832" s="62"/>
      <c r="AW832" s="62"/>
      <c r="AX832" s="62"/>
      <c r="AY832" s="62"/>
      <c r="AZ832" s="62"/>
      <c r="BA832" s="62"/>
      <c r="BB832" s="62"/>
      <c r="BC832" s="62"/>
      <c r="BD832" s="62"/>
      <c r="BE832" s="62"/>
      <c r="BF832" s="62"/>
      <c r="BG832" s="62"/>
      <c r="BH832" s="62"/>
      <c r="BI832" s="62"/>
      <c r="BJ832" s="62"/>
      <c r="BK832" s="62"/>
      <c r="BL832" s="62"/>
      <c r="BM832" s="62"/>
      <c r="BN832" s="62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62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62"/>
      <c r="AF833" s="62"/>
      <c r="AG833" s="62"/>
      <c r="AH833" s="62"/>
      <c r="AI833" s="62"/>
      <c r="AJ833" s="62"/>
      <c r="AK833" s="62"/>
      <c r="AL833" s="62"/>
      <c r="AM833" s="62"/>
      <c r="AN833" s="62"/>
      <c r="AO833" s="62"/>
      <c r="AP833" s="62"/>
      <c r="AQ833" s="62"/>
      <c r="AR833" s="62"/>
      <c r="AS833" s="62"/>
      <c r="AT833" s="62"/>
      <c r="AU833" s="62"/>
      <c r="AV833" s="62"/>
      <c r="AW833" s="62"/>
      <c r="AX833" s="62"/>
      <c r="AY833" s="62"/>
      <c r="AZ833" s="62"/>
      <c r="BA833" s="62"/>
      <c r="BB833" s="62"/>
      <c r="BC833" s="62"/>
      <c r="BD833" s="62"/>
      <c r="BE833" s="62"/>
      <c r="BF833" s="62"/>
      <c r="BG833" s="62"/>
      <c r="BH833" s="62"/>
      <c r="BI833" s="62"/>
      <c r="BJ833" s="62"/>
      <c r="BK833" s="62"/>
      <c r="BL833" s="62"/>
      <c r="BM833" s="62"/>
      <c r="BN833" s="62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62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62"/>
      <c r="AF834" s="62"/>
      <c r="AG834" s="62"/>
      <c r="AH834" s="62"/>
      <c r="AI834" s="62"/>
      <c r="AJ834" s="62"/>
      <c r="AK834" s="62"/>
      <c r="AL834" s="62"/>
      <c r="AM834" s="62"/>
      <c r="AN834" s="62"/>
      <c r="AO834" s="62"/>
      <c r="AP834" s="62"/>
      <c r="AQ834" s="62"/>
      <c r="AR834" s="62"/>
      <c r="AS834" s="62"/>
      <c r="AT834" s="62"/>
      <c r="AU834" s="62"/>
      <c r="AV834" s="62"/>
      <c r="AW834" s="62"/>
      <c r="AX834" s="62"/>
      <c r="AY834" s="62"/>
      <c r="AZ834" s="62"/>
      <c r="BA834" s="62"/>
      <c r="BB834" s="62"/>
      <c r="BC834" s="62"/>
      <c r="BD834" s="62"/>
      <c r="BE834" s="62"/>
      <c r="BF834" s="62"/>
      <c r="BG834" s="62"/>
      <c r="BH834" s="62"/>
      <c r="BI834" s="62"/>
      <c r="BJ834" s="62"/>
      <c r="BK834" s="62"/>
      <c r="BL834" s="62"/>
      <c r="BM834" s="62"/>
      <c r="BN834" s="62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62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62"/>
      <c r="AF835" s="62"/>
      <c r="AG835" s="62"/>
      <c r="AH835" s="62"/>
      <c r="AI835" s="62"/>
      <c r="AJ835" s="62"/>
      <c r="AK835" s="62"/>
      <c r="AL835" s="62"/>
      <c r="AM835" s="62"/>
      <c r="AN835" s="62"/>
      <c r="AO835" s="62"/>
      <c r="AP835" s="62"/>
      <c r="AQ835" s="62"/>
      <c r="AR835" s="62"/>
      <c r="AS835" s="62"/>
      <c r="AT835" s="62"/>
      <c r="AU835" s="62"/>
      <c r="AV835" s="62"/>
      <c r="AW835" s="62"/>
      <c r="AX835" s="62"/>
      <c r="AY835" s="62"/>
      <c r="AZ835" s="62"/>
      <c r="BA835" s="62"/>
      <c r="BB835" s="62"/>
      <c r="BC835" s="62"/>
      <c r="BD835" s="62"/>
      <c r="BE835" s="62"/>
      <c r="BF835" s="62"/>
      <c r="BG835" s="62"/>
      <c r="BH835" s="62"/>
      <c r="BI835" s="62"/>
      <c r="BJ835" s="62"/>
      <c r="BK835" s="62"/>
      <c r="BL835" s="62"/>
      <c r="BM835" s="62"/>
      <c r="BN835" s="62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62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62"/>
      <c r="AF836" s="62"/>
      <c r="AG836" s="62"/>
      <c r="AH836" s="62"/>
      <c r="AI836" s="62"/>
      <c r="AJ836" s="62"/>
      <c r="AK836" s="62"/>
      <c r="AL836" s="62"/>
      <c r="AM836" s="62"/>
      <c r="AN836" s="62"/>
      <c r="AO836" s="62"/>
      <c r="AP836" s="62"/>
      <c r="AQ836" s="62"/>
      <c r="AR836" s="62"/>
      <c r="AS836" s="62"/>
      <c r="AT836" s="62"/>
      <c r="AU836" s="62"/>
      <c r="AV836" s="62"/>
      <c r="AW836" s="62"/>
      <c r="AX836" s="62"/>
      <c r="AY836" s="62"/>
      <c r="AZ836" s="62"/>
      <c r="BA836" s="62"/>
      <c r="BB836" s="62"/>
      <c r="BC836" s="62"/>
      <c r="BD836" s="62"/>
      <c r="BE836" s="62"/>
      <c r="BF836" s="62"/>
      <c r="BG836" s="62"/>
      <c r="BH836" s="62"/>
      <c r="BI836" s="62"/>
      <c r="BJ836" s="62"/>
      <c r="BK836" s="62"/>
      <c r="BL836" s="62"/>
      <c r="BM836" s="62"/>
      <c r="BN836" s="62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62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62"/>
      <c r="AF837" s="62"/>
      <c r="AG837" s="62"/>
      <c r="AH837" s="62"/>
      <c r="AI837" s="62"/>
      <c r="AJ837" s="62"/>
      <c r="AK837" s="62"/>
      <c r="AL837" s="62"/>
      <c r="AM837" s="62"/>
      <c r="AN837" s="62"/>
      <c r="AO837" s="62"/>
      <c r="AP837" s="62"/>
      <c r="AQ837" s="62"/>
      <c r="AR837" s="62"/>
      <c r="AS837" s="62"/>
      <c r="AT837" s="62"/>
      <c r="AU837" s="62"/>
      <c r="AV837" s="62"/>
      <c r="AW837" s="62"/>
      <c r="AX837" s="62"/>
      <c r="AY837" s="62"/>
      <c r="AZ837" s="62"/>
      <c r="BA837" s="62"/>
      <c r="BB837" s="62"/>
      <c r="BC837" s="62"/>
      <c r="BD837" s="62"/>
      <c r="BE837" s="62"/>
      <c r="BF837" s="62"/>
      <c r="BG837" s="62"/>
      <c r="BH837" s="62"/>
      <c r="BI837" s="62"/>
      <c r="BJ837" s="62"/>
      <c r="BK837" s="62"/>
      <c r="BL837" s="62"/>
      <c r="BM837" s="62"/>
      <c r="BN837" s="62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62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62"/>
      <c r="AF838" s="62"/>
      <c r="AG838" s="62"/>
      <c r="AH838" s="62"/>
      <c r="AI838" s="62"/>
      <c r="AJ838" s="62"/>
      <c r="AK838" s="62"/>
      <c r="AL838" s="62"/>
      <c r="AM838" s="62"/>
      <c r="AN838" s="62"/>
      <c r="AO838" s="62"/>
      <c r="AP838" s="62"/>
      <c r="AQ838" s="62"/>
      <c r="AR838" s="62"/>
      <c r="AS838" s="62"/>
      <c r="AT838" s="62"/>
      <c r="AU838" s="62"/>
      <c r="AV838" s="62"/>
      <c r="AW838" s="62"/>
      <c r="AX838" s="62"/>
      <c r="AY838" s="62"/>
      <c r="AZ838" s="62"/>
      <c r="BA838" s="62"/>
      <c r="BB838" s="62"/>
      <c r="BC838" s="62"/>
      <c r="BD838" s="62"/>
      <c r="BE838" s="62"/>
      <c r="BF838" s="62"/>
      <c r="BG838" s="62"/>
      <c r="BH838" s="62"/>
      <c r="BI838" s="62"/>
      <c r="BJ838" s="62"/>
      <c r="BK838" s="62"/>
      <c r="BL838" s="62"/>
      <c r="BM838" s="62"/>
      <c r="BN838" s="62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62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62"/>
      <c r="AF839" s="62"/>
      <c r="AG839" s="62"/>
      <c r="AH839" s="62"/>
      <c r="AI839" s="62"/>
      <c r="AJ839" s="62"/>
      <c r="AK839" s="62"/>
      <c r="AL839" s="62"/>
      <c r="AM839" s="62"/>
      <c r="AN839" s="62"/>
      <c r="AO839" s="62"/>
      <c r="AP839" s="62"/>
      <c r="AQ839" s="62"/>
      <c r="AR839" s="62"/>
      <c r="AS839" s="62"/>
      <c r="AT839" s="62"/>
      <c r="AU839" s="62"/>
      <c r="AV839" s="62"/>
      <c r="AW839" s="62"/>
      <c r="AX839" s="62"/>
      <c r="AY839" s="62"/>
      <c r="AZ839" s="62"/>
      <c r="BA839" s="62"/>
      <c r="BB839" s="62"/>
      <c r="BC839" s="62"/>
      <c r="BD839" s="62"/>
      <c r="BE839" s="62"/>
      <c r="BF839" s="62"/>
      <c r="BG839" s="62"/>
      <c r="BH839" s="62"/>
      <c r="BI839" s="62"/>
      <c r="BJ839" s="62"/>
      <c r="BK839" s="62"/>
      <c r="BL839" s="62"/>
      <c r="BM839" s="62"/>
      <c r="BN839" s="62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62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62"/>
      <c r="AF840" s="62"/>
      <c r="AG840" s="62"/>
      <c r="AH840" s="62"/>
      <c r="AI840" s="62"/>
      <c r="AJ840" s="62"/>
      <c r="AK840" s="62"/>
      <c r="AL840" s="62"/>
      <c r="AM840" s="62"/>
      <c r="AN840" s="62"/>
      <c r="AO840" s="62"/>
      <c r="AP840" s="62"/>
      <c r="AQ840" s="62"/>
      <c r="AR840" s="62"/>
      <c r="AS840" s="62"/>
      <c r="AT840" s="62"/>
      <c r="AU840" s="62"/>
      <c r="AV840" s="62"/>
      <c r="AW840" s="62"/>
      <c r="AX840" s="62"/>
      <c r="AY840" s="62"/>
      <c r="AZ840" s="62"/>
      <c r="BA840" s="62"/>
      <c r="BB840" s="62"/>
      <c r="BC840" s="62"/>
      <c r="BD840" s="62"/>
      <c r="BE840" s="62"/>
      <c r="BF840" s="62"/>
      <c r="BG840" s="62"/>
      <c r="BH840" s="62"/>
      <c r="BI840" s="62"/>
      <c r="BJ840" s="62"/>
      <c r="BK840" s="62"/>
      <c r="BL840" s="62"/>
      <c r="BM840" s="62"/>
      <c r="BN840" s="62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62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62"/>
      <c r="AF841" s="62"/>
      <c r="AG841" s="62"/>
      <c r="AH841" s="62"/>
      <c r="AI841" s="62"/>
      <c r="AJ841" s="62"/>
      <c r="AK841" s="62"/>
      <c r="AL841" s="62"/>
      <c r="AM841" s="62"/>
      <c r="AN841" s="62"/>
      <c r="AO841" s="62"/>
      <c r="AP841" s="62"/>
      <c r="AQ841" s="62"/>
      <c r="AR841" s="62"/>
      <c r="AS841" s="62"/>
      <c r="AT841" s="62"/>
      <c r="AU841" s="62"/>
      <c r="AV841" s="62"/>
      <c r="AW841" s="62"/>
      <c r="AX841" s="62"/>
      <c r="AY841" s="62"/>
      <c r="AZ841" s="62"/>
      <c r="BA841" s="62"/>
      <c r="BB841" s="62"/>
      <c r="BC841" s="62"/>
      <c r="BD841" s="62"/>
      <c r="BE841" s="62"/>
      <c r="BF841" s="62"/>
      <c r="BG841" s="62"/>
      <c r="BH841" s="62"/>
      <c r="BI841" s="62"/>
      <c r="BJ841" s="62"/>
      <c r="BK841" s="62"/>
      <c r="BL841" s="62"/>
      <c r="BM841" s="62"/>
      <c r="BN841" s="62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62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/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2"/>
      <c r="BJ842" s="62"/>
      <c r="BK842" s="62"/>
      <c r="BL842" s="62"/>
      <c r="BM842" s="62"/>
      <c r="BN842" s="62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62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2"/>
      <c r="BJ843" s="62"/>
      <c r="BK843" s="62"/>
      <c r="BL843" s="62"/>
      <c r="BM843" s="62"/>
      <c r="BN843" s="62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62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62"/>
      <c r="AF844" s="62"/>
      <c r="AG844" s="62"/>
      <c r="AH844" s="62"/>
      <c r="AI844" s="62"/>
      <c r="AJ844" s="62"/>
      <c r="AK844" s="62"/>
      <c r="AL844" s="62"/>
      <c r="AM844" s="62"/>
      <c r="AN844" s="62"/>
      <c r="AO844" s="62"/>
      <c r="AP844" s="62"/>
      <c r="AQ844" s="62"/>
      <c r="AR844" s="62"/>
      <c r="AS844" s="62"/>
      <c r="AT844" s="62"/>
      <c r="AU844" s="62"/>
      <c r="AV844" s="62"/>
      <c r="AW844" s="62"/>
      <c r="AX844" s="62"/>
      <c r="AY844" s="62"/>
      <c r="AZ844" s="62"/>
      <c r="BA844" s="62"/>
      <c r="BB844" s="62"/>
      <c r="BC844" s="62"/>
      <c r="BD844" s="62"/>
      <c r="BE844" s="62"/>
      <c r="BF844" s="62"/>
      <c r="BG844" s="62"/>
      <c r="BH844" s="62"/>
      <c r="BI844" s="62"/>
      <c r="BJ844" s="62"/>
      <c r="BK844" s="62"/>
      <c r="BL844" s="62"/>
      <c r="BM844" s="62"/>
      <c r="BN844" s="62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62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62"/>
      <c r="AF845" s="62"/>
      <c r="AG845" s="62"/>
      <c r="AH845" s="62"/>
      <c r="AI845" s="62"/>
      <c r="AJ845" s="62"/>
      <c r="AK845" s="62"/>
      <c r="AL845" s="62"/>
      <c r="AM845" s="62"/>
      <c r="AN845" s="62"/>
      <c r="AO845" s="62"/>
      <c r="AP845" s="62"/>
      <c r="AQ845" s="62"/>
      <c r="AR845" s="62"/>
      <c r="AS845" s="62"/>
      <c r="AT845" s="62"/>
      <c r="AU845" s="62"/>
      <c r="AV845" s="62"/>
      <c r="AW845" s="62"/>
      <c r="AX845" s="62"/>
      <c r="AY845" s="62"/>
      <c r="AZ845" s="62"/>
      <c r="BA845" s="62"/>
      <c r="BB845" s="62"/>
      <c r="BC845" s="62"/>
      <c r="BD845" s="62"/>
      <c r="BE845" s="62"/>
      <c r="BF845" s="62"/>
      <c r="BG845" s="62"/>
      <c r="BH845" s="62"/>
      <c r="BI845" s="62"/>
      <c r="BJ845" s="62"/>
      <c r="BK845" s="62"/>
      <c r="BL845" s="62"/>
      <c r="BM845" s="62"/>
      <c r="BN845" s="62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62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62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62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62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62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62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62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62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62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62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62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62"/>
      <c r="AF856" s="62"/>
      <c r="AG856" s="62"/>
      <c r="AH856" s="62"/>
      <c r="AI856" s="62"/>
      <c r="AJ856" s="62"/>
      <c r="AK856" s="62"/>
      <c r="AL856" s="62"/>
      <c r="AM856" s="62"/>
      <c r="AN856" s="62"/>
      <c r="AO856" s="62"/>
      <c r="AP856" s="62"/>
      <c r="AQ856" s="62"/>
      <c r="AR856" s="62"/>
      <c r="AS856" s="62"/>
      <c r="AT856" s="62"/>
      <c r="AU856" s="62"/>
      <c r="AV856" s="62"/>
      <c r="AW856" s="62"/>
      <c r="AX856" s="62"/>
      <c r="AY856" s="62"/>
      <c r="AZ856" s="62"/>
      <c r="BA856" s="62"/>
      <c r="BB856" s="62"/>
      <c r="BC856" s="62"/>
      <c r="BD856" s="62"/>
      <c r="BE856" s="62"/>
      <c r="BF856" s="62"/>
      <c r="BG856" s="62"/>
      <c r="BH856" s="62"/>
      <c r="BI856" s="62"/>
      <c r="BJ856" s="62"/>
      <c r="BK856" s="62"/>
      <c r="BL856" s="62"/>
      <c r="BM856" s="62"/>
      <c r="BN856" s="62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62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62"/>
      <c r="AF857" s="62"/>
      <c r="AG857" s="62"/>
      <c r="AH857" s="62"/>
      <c r="AI857" s="62"/>
      <c r="AJ857" s="62"/>
      <c r="AK857" s="62"/>
      <c r="AL857" s="62"/>
      <c r="AM857" s="62"/>
      <c r="AN857" s="62"/>
      <c r="AO857" s="62"/>
      <c r="AP857" s="62"/>
      <c r="AQ857" s="62"/>
      <c r="AR857" s="62"/>
      <c r="AS857" s="62"/>
      <c r="AT857" s="62"/>
      <c r="AU857" s="62"/>
      <c r="AV857" s="62"/>
      <c r="AW857" s="62"/>
      <c r="AX857" s="62"/>
      <c r="AY857" s="62"/>
      <c r="AZ857" s="62"/>
      <c r="BA857" s="62"/>
      <c r="BB857" s="62"/>
      <c r="BC857" s="62"/>
      <c r="BD857" s="62"/>
      <c r="BE857" s="62"/>
      <c r="BF857" s="62"/>
      <c r="BG857" s="62"/>
      <c r="BH857" s="62"/>
      <c r="BI857" s="62"/>
      <c r="BJ857" s="62"/>
      <c r="BK857" s="62"/>
      <c r="BL857" s="62"/>
      <c r="BM857" s="62"/>
      <c r="BN857" s="62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62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62"/>
      <c r="AF858" s="62"/>
      <c r="AG858" s="62"/>
      <c r="AH858" s="62"/>
      <c r="AI858" s="62"/>
      <c r="AJ858" s="62"/>
      <c r="AK858" s="62"/>
      <c r="AL858" s="62"/>
      <c r="AM858" s="62"/>
      <c r="AN858" s="62"/>
      <c r="AO858" s="62"/>
      <c r="AP858" s="62"/>
      <c r="AQ858" s="62"/>
      <c r="AR858" s="62"/>
      <c r="AS858" s="62"/>
      <c r="AT858" s="62"/>
      <c r="AU858" s="62"/>
      <c r="AV858" s="62"/>
      <c r="AW858" s="62"/>
      <c r="AX858" s="62"/>
      <c r="AY858" s="62"/>
      <c r="AZ858" s="62"/>
      <c r="BA858" s="62"/>
      <c r="BB858" s="62"/>
      <c r="BC858" s="62"/>
      <c r="BD858" s="62"/>
      <c r="BE858" s="62"/>
      <c r="BF858" s="62"/>
      <c r="BG858" s="62"/>
      <c r="BH858" s="62"/>
      <c r="BI858" s="62"/>
      <c r="BJ858" s="62"/>
      <c r="BK858" s="62"/>
      <c r="BL858" s="62"/>
      <c r="BM858" s="62"/>
      <c r="BN858" s="62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62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62"/>
      <c r="AF859" s="62"/>
      <c r="AG859" s="62"/>
      <c r="AH859" s="62"/>
      <c r="AI859" s="62"/>
      <c r="AJ859" s="62"/>
      <c r="AK859" s="62"/>
      <c r="AL859" s="62"/>
      <c r="AM859" s="62"/>
      <c r="AN859" s="62"/>
      <c r="AO859" s="62"/>
      <c r="AP859" s="62"/>
      <c r="AQ859" s="62"/>
      <c r="AR859" s="62"/>
      <c r="AS859" s="62"/>
      <c r="AT859" s="62"/>
      <c r="AU859" s="62"/>
      <c r="AV859" s="62"/>
      <c r="AW859" s="62"/>
      <c r="AX859" s="62"/>
      <c r="AY859" s="62"/>
      <c r="AZ859" s="62"/>
      <c r="BA859" s="62"/>
      <c r="BB859" s="62"/>
      <c r="BC859" s="62"/>
      <c r="BD859" s="62"/>
      <c r="BE859" s="62"/>
      <c r="BF859" s="62"/>
      <c r="BG859" s="62"/>
      <c r="BH859" s="62"/>
      <c r="BI859" s="62"/>
      <c r="BJ859" s="62"/>
      <c r="BK859" s="62"/>
      <c r="BL859" s="62"/>
      <c r="BM859" s="62"/>
      <c r="BN859" s="62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62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62"/>
      <c r="AF860" s="62"/>
      <c r="AG860" s="62"/>
      <c r="AH860" s="62"/>
      <c r="AI860" s="62"/>
      <c r="AJ860" s="62"/>
      <c r="AK860" s="62"/>
      <c r="AL860" s="62"/>
      <c r="AM860" s="62"/>
      <c r="AN860" s="62"/>
      <c r="AO860" s="62"/>
      <c r="AP860" s="62"/>
      <c r="AQ860" s="62"/>
      <c r="AR860" s="62"/>
      <c r="AS860" s="62"/>
      <c r="AT860" s="62"/>
      <c r="AU860" s="62"/>
      <c r="AV860" s="62"/>
      <c r="AW860" s="62"/>
      <c r="AX860" s="62"/>
      <c r="AY860" s="62"/>
      <c r="AZ860" s="62"/>
      <c r="BA860" s="62"/>
      <c r="BB860" s="62"/>
      <c r="BC860" s="62"/>
      <c r="BD860" s="62"/>
      <c r="BE860" s="62"/>
      <c r="BF860" s="62"/>
      <c r="BG860" s="62"/>
      <c r="BH860" s="62"/>
      <c r="BI860" s="62"/>
      <c r="BJ860" s="62"/>
      <c r="BK860" s="62"/>
      <c r="BL860" s="62"/>
      <c r="BM860" s="62"/>
      <c r="BN860" s="62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62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62"/>
      <c r="AF861" s="62"/>
      <c r="AG861" s="62"/>
      <c r="AH861" s="62"/>
      <c r="AI861" s="62"/>
      <c r="AJ861" s="62"/>
      <c r="AK861" s="62"/>
      <c r="AL861" s="62"/>
      <c r="AM861" s="62"/>
      <c r="AN861" s="62"/>
      <c r="AO861" s="62"/>
      <c r="AP861" s="62"/>
      <c r="AQ861" s="62"/>
      <c r="AR861" s="62"/>
      <c r="AS861" s="62"/>
      <c r="AT861" s="62"/>
      <c r="AU861" s="62"/>
      <c r="AV861" s="62"/>
      <c r="AW861" s="62"/>
      <c r="AX861" s="62"/>
      <c r="AY861" s="62"/>
      <c r="AZ861" s="62"/>
      <c r="BA861" s="62"/>
      <c r="BB861" s="62"/>
      <c r="BC861" s="62"/>
      <c r="BD861" s="62"/>
      <c r="BE861" s="62"/>
      <c r="BF861" s="62"/>
      <c r="BG861" s="62"/>
      <c r="BH861" s="62"/>
      <c r="BI861" s="62"/>
      <c r="BJ861" s="62"/>
      <c r="BK861" s="62"/>
      <c r="BL861" s="62"/>
      <c r="BM861" s="62"/>
      <c r="BN861" s="62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62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62"/>
      <c r="AF862" s="62"/>
      <c r="AG862" s="62"/>
      <c r="AH862" s="62"/>
      <c r="AI862" s="62"/>
      <c r="AJ862" s="62"/>
      <c r="AK862" s="62"/>
      <c r="AL862" s="62"/>
      <c r="AM862" s="62"/>
      <c r="AN862" s="62"/>
      <c r="AO862" s="62"/>
      <c r="AP862" s="62"/>
      <c r="AQ862" s="62"/>
      <c r="AR862" s="62"/>
      <c r="AS862" s="62"/>
      <c r="AT862" s="62"/>
      <c r="AU862" s="62"/>
      <c r="AV862" s="62"/>
      <c r="AW862" s="62"/>
      <c r="AX862" s="62"/>
      <c r="AY862" s="62"/>
      <c r="AZ862" s="62"/>
      <c r="BA862" s="62"/>
      <c r="BB862" s="62"/>
      <c r="BC862" s="62"/>
      <c r="BD862" s="62"/>
      <c r="BE862" s="62"/>
      <c r="BF862" s="62"/>
      <c r="BG862" s="62"/>
      <c r="BH862" s="62"/>
      <c r="BI862" s="62"/>
      <c r="BJ862" s="62"/>
      <c r="BK862" s="62"/>
      <c r="BL862" s="62"/>
      <c r="BM862" s="62"/>
      <c r="BN862" s="62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62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62"/>
      <c r="AF863" s="62"/>
      <c r="AG863" s="62"/>
      <c r="AH863" s="62"/>
      <c r="AI863" s="62"/>
      <c r="AJ863" s="62"/>
      <c r="AK863" s="62"/>
      <c r="AL863" s="62"/>
      <c r="AM863" s="62"/>
      <c r="AN863" s="62"/>
      <c r="AO863" s="62"/>
      <c r="AP863" s="62"/>
      <c r="AQ863" s="62"/>
      <c r="AR863" s="62"/>
      <c r="AS863" s="62"/>
      <c r="AT863" s="62"/>
      <c r="AU863" s="62"/>
      <c r="AV863" s="62"/>
      <c r="AW863" s="62"/>
      <c r="AX863" s="62"/>
      <c r="AY863" s="62"/>
      <c r="AZ863" s="62"/>
      <c r="BA863" s="62"/>
      <c r="BB863" s="62"/>
      <c r="BC863" s="62"/>
      <c r="BD863" s="62"/>
      <c r="BE863" s="62"/>
      <c r="BF863" s="62"/>
      <c r="BG863" s="62"/>
      <c r="BH863" s="62"/>
      <c r="BI863" s="62"/>
      <c r="BJ863" s="62"/>
      <c r="BK863" s="62"/>
      <c r="BL863" s="62"/>
      <c r="BM863" s="62"/>
      <c r="BN863" s="62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62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62"/>
      <c r="AF864" s="62"/>
      <c r="AG864" s="62"/>
      <c r="AH864" s="62"/>
      <c r="AI864" s="62"/>
      <c r="AJ864" s="62"/>
      <c r="AK864" s="62"/>
      <c r="AL864" s="62"/>
      <c r="AM864" s="62"/>
      <c r="AN864" s="62"/>
      <c r="AO864" s="62"/>
      <c r="AP864" s="62"/>
      <c r="AQ864" s="62"/>
      <c r="AR864" s="62"/>
      <c r="AS864" s="62"/>
      <c r="AT864" s="62"/>
      <c r="AU864" s="62"/>
      <c r="AV864" s="62"/>
      <c r="AW864" s="62"/>
      <c r="AX864" s="62"/>
      <c r="AY864" s="62"/>
      <c r="AZ864" s="62"/>
      <c r="BA864" s="62"/>
      <c r="BB864" s="62"/>
      <c r="BC864" s="62"/>
      <c r="BD864" s="62"/>
      <c r="BE864" s="62"/>
      <c r="BF864" s="62"/>
      <c r="BG864" s="62"/>
      <c r="BH864" s="62"/>
      <c r="BI864" s="62"/>
      <c r="BJ864" s="62"/>
      <c r="BK864" s="62"/>
      <c r="BL864" s="62"/>
      <c r="BM864" s="62"/>
      <c r="BN864" s="62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62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62"/>
      <c r="AF865" s="62"/>
      <c r="AG865" s="62"/>
      <c r="AH865" s="62"/>
      <c r="AI865" s="62"/>
      <c r="AJ865" s="62"/>
      <c r="AK865" s="62"/>
      <c r="AL865" s="62"/>
      <c r="AM865" s="62"/>
      <c r="AN865" s="62"/>
      <c r="AO865" s="62"/>
      <c r="AP865" s="62"/>
      <c r="AQ865" s="62"/>
      <c r="AR865" s="62"/>
      <c r="AS865" s="62"/>
      <c r="AT865" s="62"/>
      <c r="AU865" s="62"/>
      <c r="AV865" s="62"/>
      <c r="AW865" s="62"/>
      <c r="AX865" s="62"/>
      <c r="AY865" s="62"/>
      <c r="AZ865" s="62"/>
      <c r="BA865" s="62"/>
      <c r="BB865" s="62"/>
      <c r="BC865" s="62"/>
      <c r="BD865" s="62"/>
      <c r="BE865" s="62"/>
      <c r="BF865" s="62"/>
      <c r="BG865" s="62"/>
      <c r="BH865" s="62"/>
      <c r="BI865" s="62"/>
      <c r="BJ865" s="62"/>
      <c r="BK865" s="62"/>
      <c r="BL865" s="62"/>
      <c r="BM865" s="62"/>
      <c r="BN865" s="62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62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62"/>
      <c r="AF866" s="62"/>
      <c r="AG866" s="62"/>
      <c r="AH866" s="62"/>
      <c r="AI866" s="62"/>
      <c r="AJ866" s="62"/>
      <c r="AK866" s="62"/>
      <c r="AL866" s="62"/>
      <c r="AM866" s="62"/>
      <c r="AN866" s="62"/>
      <c r="AO866" s="62"/>
      <c r="AP866" s="62"/>
      <c r="AQ866" s="62"/>
      <c r="AR866" s="62"/>
      <c r="AS866" s="62"/>
      <c r="AT866" s="62"/>
      <c r="AU866" s="62"/>
      <c r="AV866" s="62"/>
      <c r="AW866" s="62"/>
      <c r="AX866" s="62"/>
      <c r="AY866" s="62"/>
      <c r="AZ866" s="62"/>
      <c r="BA866" s="62"/>
      <c r="BB866" s="62"/>
      <c r="BC866" s="62"/>
      <c r="BD866" s="62"/>
      <c r="BE866" s="62"/>
      <c r="BF866" s="62"/>
      <c r="BG866" s="62"/>
      <c r="BH866" s="62"/>
      <c r="BI866" s="62"/>
      <c r="BJ866" s="62"/>
      <c r="BK866" s="62"/>
      <c r="BL866" s="62"/>
      <c r="BM866" s="62"/>
      <c r="BN866" s="62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62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62"/>
      <c r="AF867" s="62"/>
      <c r="AG867" s="62"/>
      <c r="AH867" s="62"/>
      <c r="AI867" s="62"/>
      <c r="AJ867" s="62"/>
      <c r="AK867" s="62"/>
      <c r="AL867" s="62"/>
      <c r="AM867" s="62"/>
      <c r="AN867" s="62"/>
      <c r="AO867" s="62"/>
      <c r="AP867" s="62"/>
      <c r="AQ867" s="62"/>
      <c r="AR867" s="62"/>
      <c r="AS867" s="62"/>
      <c r="AT867" s="62"/>
      <c r="AU867" s="62"/>
      <c r="AV867" s="62"/>
      <c r="AW867" s="62"/>
      <c r="AX867" s="62"/>
      <c r="AY867" s="62"/>
      <c r="AZ867" s="62"/>
      <c r="BA867" s="62"/>
      <c r="BB867" s="62"/>
      <c r="BC867" s="62"/>
      <c r="BD867" s="62"/>
      <c r="BE867" s="62"/>
      <c r="BF867" s="62"/>
      <c r="BG867" s="62"/>
      <c r="BH867" s="62"/>
      <c r="BI867" s="62"/>
      <c r="BJ867" s="62"/>
      <c r="BK867" s="62"/>
      <c r="BL867" s="62"/>
      <c r="BM867" s="62"/>
      <c r="BN867" s="62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62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62"/>
      <c r="AF868" s="62"/>
      <c r="AG868" s="62"/>
      <c r="AH868" s="62"/>
      <c r="AI868" s="62"/>
      <c r="AJ868" s="62"/>
      <c r="AK868" s="62"/>
      <c r="AL868" s="62"/>
      <c r="AM868" s="62"/>
      <c r="AN868" s="62"/>
      <c r="AO868" s="62"/>
      <c r="AP868" s="62"/>
      <c r="AQ868" s="62"/>
      <c r="AR868" s="62"/>
      <c r="AS868" s="62"/>
      <c r="AT868" s="62"/>
      <c r="AU868" s="62"/>
      <c r="AV868" s="62"/>
      <c r="AW868" s="62"/>
      <c r="AX868" s="62"/>
      <c r="AY868" s="62"/>
      <c r="AZ868" s="62"/>
      <c r="BA868" s="62"/>
      <c r="BB868" s="62"/>
      <c r="BC868" s="62"/>
      <c r="BD868" s="62"/>
      <c r="BE868" s="62"/>
      <c r="BF868" s="62"/>
      <c r="BG868" s="62"/>
      <c r="BH868" s="62"/>
      <c r="BI868" s="62"/>
      <c r="BJ868" s="62"/>
      <c r="BK868" s="62"/>
      <c r="BL868" s="62"/>
      <c r="BM868" s="62"/>
      <c r="BN868" s="62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62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62"/>
      <c r="AF869" s="62"/>
      <c r="AG869" s="62"/>
      <c r="AH869" s="62"/>
      <c r="AI869" s="62"/>
      <c r="AJ869" s="62"/>
      <c r="AK869" s="62"/>
      <c r="AL869" s="62"/>
      <c r="AM869" s="62"/>
      <c r="AN869" s="62"/>
      <c r="AO869" s="62"/>
      <c r="AP869" s="62"/>
      <c r="AQ869" s="62"/>
      <c r="AR869" s="62"/>
      <c r="AS869" s="62"/>
      <c r="AT869" s="62"/>
      <c r="AU869" s="62"/>
      <c r="AV869" s="62"/>
      <c r="AW869" s="62"/>
      <c r="AX869" s="62"/>
      <c r="AY869" s="62"/>
      <c r="AZ869" s="62"/>
      <c r="BA869" s="62"/>
      <c r="BB869" s="62"/>
      <c r="BC869" s="62"/>
      <c r="BD869" s="62"/>
      <c r="BE869" s="62"/>
      <c r="BF869" s="62"/>
      <c r="BG869" s="62"/>
      <c r="BH869" s="62"/>
      <c r="BI869" s="62"/>
      <c r="BJ869" s="62"/>
      <c r="BK869" s="62"/>
      <c r="BL869" s="62"/>
      <c r="BM869" s="62"/>
      <c r="BN869" s="62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62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62"/>
      <c r="AF870" s="62"/>
      <c r="AG870" s="62"/>
      <c r="AH870" s="62"/>
      <c r="AI870" s="62"/>
      <c r="AJ870" s="62"/>
      <c r="AK870" s="62"/>
      <c r="AL870" s="62"/>
      <c r="AM870" s="62"/>
      <c r="AN870" s="62"/>
      <c r="AO870" s="62"/>
      <c r="AP870" s="62"/>
      <c r="AQ870" s="62"/>
      <c r="AR870" s="62"/>
      <c r="AS870" s="62"/>
      <c r="AT870" s="62"/>
      <c r="AU870" s="62"/>
      <c r="AV870" s="62"/>
      <c r="AW870" s="62"/>
      <c r="AX870" s="62"/>
      <c r="AY870" s="62"/>
      <c r="AZ870" s="62"/>
      <c r="BA870" s="62"/>
      <c r="BB870" s="62"/>
      <c r="BC870" s="62"/>
      <c r="BD870" s="62"/>
      <c r="BE870" s="62"/>
      <c r="BF870" s="62"/>
      <c r="BG870" s="62"/>
      <c r="BH870" s="62"/>
      <c r="BI870" s="62"/>
      <c r="BJ870" s="62"/>
      <c r="BK870" s="62"/>
      <c r="BL870" s="62"/>
      <c r="BM870" s="62"/>
      <c r="BN870" s="62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62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62"/>
      <c r="AF871" s="62"/>
      <c r="AG871" s="62"/>
      <c r="AH871" s="62"/>
      <c r="AI871" s="62"/>
      <c r="AJ871" s="62"/>
      <c r="AK871" s="62"/>
      <c r="AL871" s="62"/>
      <c r="AM871" s="62"/>
      <c r="AN871" s="62"/>
      <c r="AO871" s="62"/>
      <c r="AP871" s="62"/>
      <c r="AQ871" s="62"/>
      <c r="AR871" s="62"/>
      <c r="AS871" s="62"/>
      <c r="AT871" s="62"/>
      <c r="AU871" s="62"/>
      <c r="AV871" s="62"/>
      <c r="AW871" s="62"/>
      <c r="AX871" s="62"/>
      <c r="AY871" s="62"/>
      <c r="AZ871" s="62"/>
      <c r="BA871" s="62"/>
      <c r="BB871" s="62"/>
      <c r="BC871" s="62"/>
      <c r="BD871" s="62"/>
      <c r="BE871" s="62"/>
      <c r="BF871" s="62"/>
      <c r="BG871" s="62"/>
      <c r="BH871" s="62"/>
      <c r="BI871" s="62"/>
      <c r="BJ871" s="62"/>
      <c r="BK871" s="62"/>
      <c r="BL871" s="62"/>
      <c r="BM871" s="62"/>
      <c r="BN871" s="62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62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62"/>
      <c r="AF872" s="62"/>
      <c r="AG872" s="62"/>
      <c r="AH872" s="62"/>
      <c r="AI872" s="62"/>
      <c r="AJ872" s="62"/>
      <c r="AK872" s="62"/>
      <c r="AL872" s="62"/>
      <c r="AM872" s="62"/>
      <c r="AN872" s="62"/>
      <c r="AO872" s="62"/>
      <c r="AP872" s="62"/>
      <c r="AQ872" s="62"/>
      <c r="AR872" s="62"/>
      <c r="AS872" s="62"/>
      <c r="AT872" s="62"/>
      <c r="AU872" s="62"/>
      <c r="AV872" s="62"/>
      <c r="AW872" s="62"/>
      <c r="AX872" s="62"/>
      <c r="AY872" s="62"/>
      <c r="AZ872" s="62"/>
      <c r="BA872" s="62"/>
      <c r="BB872" s="62"/>
      <c r="BC872" s="62"/>
      <c r="BD872" s="62"/>
      <c r="BE872" s="62"/>
      <c r="BF872" s="62"/>
      <c r="BG872" s="62"/>
      <c r="BH872" s="62"/>
      <c r="BI872" s="62"/>
      <c r="BJ872" s="62"/>
      <c r="BK872" s="62"/>
      <c r="BL872" s="62"/>
      <c r="BM872" s="62"/>
      <c r="BN872" s="62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62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62"/>
      <c r="AF873" s="62"/>
      <c r="AG873" s="62"/>
      <c r="AH873" s="62"/>
      <c r="AI873" s="62"/>
      <c r="AJ873" s="62"/>
      <c r="AK873" s="62"/>
      <c r="AL873" s="62"/>
      <c r="AM873" s="62"/>
      <c r="AN873" s="62"/>
      <c r="AO873" s="62"/>
      <c r="AP873" s="62"/>
      <c r="AQ873" s="62"/>
      <c r="AR873" s="62"/>
      <c r="AS873" s="62"/>
      <c r="AT873" s="62"/>
      <c r="AU873" s="62"/>
      <c r="AV873" s="62"/>
      <c r="AW873" s="62"/>
      <c r="AX873" s="62"/>
      <c r="AY873" s="62"/>
      <c r="AZ873" s="62"/>
      <c r="BA873" s="62"/>
      <c r="BB873" s="62"/>
      <c r="BC873" s="62"/>
      <c r="BD873" s="62"/>
      <c r="BE873" s="62"/>
      <c r="BF873" s="62"/>
      <c r="BG873" s="62"/>
      <c r="BH873" s="62"/>
      <c r="BI873" s="62"/>
      <c r="BJ873" s="62"/>
      <c r="BK873" s="62"/>
      <c r="BL873" s="62"/>
      <c r="BM873" s="62"/>
      <c r="BN873" s="62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62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62"/>
      <c r="AF874" s="62"/>
      <c r="AG874" s="62"/>
      <c r="AH874" s="62"/>
      <c r="AI874" s="62"/>
      <c r="AJ874" s="62"/>
      <c r="AK874" s="62"/>
      <c r="AL874" s="62"/>
      <c r="AM874" s="62"/>
      <c r="AN874" s="62"/>
      <c r="AO874" s="62"/>
      <c r="AP874" s="62"/>
      <c r="AQ874" s="62"/>
      <c r="AR874" s="62"/>
      <c r="AS874" s="62"/>
      <c r="AT874" s="62"/>
      <c r="AU874" s="62"/>
      <c r="AV874" s="62"/>
      <c r="AW874" s="62"/>
      <c r="AX874" s="62"/>
      <c r="AY874" s="62"/>
      <c r="AZ874" s="62"/>
      <c r="BA874" s="62"/>
      <c r="BB874" s="62"/>
      <c r="BC874" s="62"/>
      <c r="BD874" s="62"/>
      <c r="BE874" s="62"/>
      <c r="BF874" s="62"/>
      <c r="BG874" s="62"/>
      <c r="BH874" s="62"/>
      <c r="BI874" s="62"/>
      <c r="BJ874" s="62"/>
      <c r="BK874" s="62"/>
      <c r="BL874" s="62"/>
      <c r="BM874" s="62"/>
      <c r="BN874" s="62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62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62"/>
      <c r="AF875" s="62"/>
      <c r="AG875" s="62"/>
      <c r="AH875" s="62"/>
      <c r="AI875" s="62"/>
      <c r="AJ875" s="62"/>
      <c r="AK875" s="62"/>
      <c r="AL875" s="62"/>
      <c r="AM875" s="62"/>
      <c r="AN875" s="62"/>
      <c r="AO875" s="62"/>
      <c r="AP875" s="62"/>
      <c r="AQ875" s="62"/>
      <c r="AR875" s="62"/>
      <c r="AS875" s="62"/>
      <c r="AT875" s="62"/>
      <c r="AU875" s="62"/>
      <c r="AV875" s="62"/>
      <c r="AW875" s="62"/>
      <c r="AX875" s="62"/>
      <c r="AY875" s="62"/>
      <c r="AZ875" s="62"/>
      <c r="BA875" s="62"/>
      <c r="BB875" s="62"/>
      <c r="BC875" s="62"/>
      <c r="BD875" s="62"/>
      <c r="BE875" s="62"/>
      <c r="BF875" s="62"/>
      <c r="BG875" s="62"/>
      <c r="BH875" s="62"/>
      <c r="BI875" s="62"/>
      <c r="BJ875" s="62"/>
      <c r="BK875" s="62"/>
      <c r="BL875" s="62"/>
      <c r="BM875" s="62"/>
      <c r="BN875" s="62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62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62"/>
      <c r="AF876" s="62"/>
      <c r="AG876" s="62"/>
      <c r="AH876" s="62"/>
      <c r="AI876" s="62"/>
      <c r="AJ876" s="62"/>
      <c r="AK876" s="62"/>
      <c r="AL876" s="62"/>
      <c r="AM876" s="62"/>
      <c r="AN876" s="62"/>
      <c r="AO876" s="62"/>
      <c r="AP876" s="62"/>
      <c r="AQ876" s="62"/>
      <c r="AR876" s="62"/>
      <c r="AS876" s="62"/>
      <c r="AT876" s="62"/>
      <c r="AU876" s="62"/>
      <c r="AV876" s="62"/>
      <c r="AW876" s="62"/>
      <c r="AX876" s="62"/>
      <c r="AY876" s="62"/>
      <c r="AZ876" s="62"/>
      <c r="BA876" s="62"/>
      <c r="BB876" s="62"/>
      <c r="BC876" s="62"/>
      <c r="BD876" s="62"/>
      <c r="BE876" s="62"/>
      <c r="BF876" s="62"/>
      <c r="BG876" s="62"/>
      <c r="BH876" s="62"/>
      <c r="BI876" s="62"/>
      <c r="BJ876" s="62"/>
      <c r="BK876" s="62"/>
      <c r="BL876" s="62"/>
      <c r="BM876" s="62"/>
      <c r="BN876" s="62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62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62"/>
      <c r="AF877" s="62"/>
      <c r="AG877" s="62"/>
      <c r="AH877" s="62"/>
      <c r="AI877" s="62"/>
      <c r="AJ877" s="62"/>
      <c r="AK877" s="62"/>
      <c r="AL877" s="62"/>
      <c r="AM877" s="62"/>
      <c r="AN877" s="62"/>
      <c r="AO877" s="62"/>
      <c r="AP877" s="62"/>
      <c r="AQ877" s="62"/>
      <c r="AR877" s="62"/>
      <c r="AS877" s="62"/>
      <c r="AT877" s="62"/>
      <c r="AU877" s="62"/>
      <c r="AV877" s="62"/>
      <c r="AW877" s="62"/>
      <c r="AX877" s="62"/>
      <c r="AY877" s="62"/>
      <c r="AZ877" s="62"/>
      <c r="BA877" s="62"/>
      <c r="BB877" s="62"/>
      <c r="BC877" s="62"/>
      <c r="BD877" s="62"/>
      <c r="BE877" s="62"/>
      <c r="BF877" s="62"/>
      <c r="BG877" s="62"/>
      <c r="BH877" s="62"/>
      <c r="BI877" s="62"/>
      <c r="BJ877" s="62"/>
      <c r="BK877" s="62"/>
      <c r="BL877" s="62"/>
      <c r="BM877" s="62"/>
      <c r="BN877" s="62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62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62"/>
      <c r="AF878" s="62"/>
      <c r="AG878" s="62"/>
      <c r="AH878" s="62"/>
      <c r="AI878" s="62"/>
      <c r="AJ878" s="62"/>
      <c r="AK878" s="62"/>
      <c r="AL878" s="62"/>
      <c r="AM878" s="62"/>
      <c r="AN878" s="62"/>
      <c r="AO878" s="62"/>
      <c r="AP878" s="62"/>
      <c r="AQ878" s="62"/>
      <c r="AR878" s="62"/>
      <c r="AS878" s="62"/>
      <c r="AT878" s="62"/>
      <c r="AU878" s="62"/>
      <c r="AV878" s="62"/>
      <c r="AW878" s="62"/>
      <c r="AX878" s="62"/>
      <c r="AY878" s="62"/>
      <c r="AZ878" s="62"/>
      <c r="BA878" s="62"/>
      <c r="BB878" s="62"/>
      <c r="BC878" s="62"/>
      <c r="BD878" s="62"/>
      <c r="BE878" s="62"/>
      <c r="BF878" s="62"/>
      <c r="BG878" s="62"/>
      <c r="BH878" s="62"/>
      <c r="BI878" s="62"/>
      <c r="BJ878" s="62"/>
      <c r="BK878" s="62"/>
      <c r="BL878" s="62"/>
      <c r="BM878" s="62"/>
      <c r="BN878" s="62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62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62"/>
      <c r="AF879" s="62"/>
      <c r="AG879" s="62"/>
      <c r="AH879" s="62"/>
      <c r="AI879" s="62"/>
      <c r="AJ879" s="62"/>
      <c r="AK879" s="62"/>
      <c r="AL879" s="62"/>
      <c r="AM879" s="62"/>
      <c r="AN879" s="62"/>
      <c r="AO879" s="62"/>
      <c r="AP879" s="62"/>
      <c r="AQ879" s="62"/>
      <c r="AR879" s="62"/>
      <c r="AS879" s="62"/>
      <c r="AT879" s="62"/>
      <c r="AU879" s="62"/>
      <c r="AV879" s="62"/>
      <c r="AW879" s="62"/>
      <c r="AX879" s="62"/>
      <c r="AY879" s="62"/>
      <c r="AZ879" s="62"/>
      <c r="BA879" s="62"/>
      <c r="BB879" s="62"/>
      <c r="BC879" s="62"/>
      <c r="BD879" s="62"/>
      <c r="BE879" s="62"/>
      <c r="BF879" s="62"/>
      <c r="BG879" s="62"/>
      <c r="BH879" s="62"/>
      <c r="BI879" s="62"/>
      <c r="BJ879" s="62"/>
      <c r="BK879" s="62"/>
      <c r="BL879" s="62"/>
      <c r="BM879" s="62"/>
      <c r="BN879" s="62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62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/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2"/>
      <c r="BJ880" s="62"/>
      <c r="BK880" s="62"/>
      <c r="BL880" s="62"/>
      <c r="BM880" s="62"/>
      <c r="BN880" s="62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62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2"/>
      <c r="BJ881" s="62"/>
      <c r="BK881" s="62"/>
      <c r="BL881" s="62"/>
      <c r="BM881" s="62"/>
      <c r="BN881" s="62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62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62"/>
      <c r="AF882" s="62"/>
      <c r="AG882" s="62"/>
      <c r="AH882" s="62"/>
      <c r="AI882" s="62"/>
      <c r="AJ882" s="62"/>
      <c r="AK882" s="62"/>
      <c r="AL882" s="62"/>
      <c r="AM882" s="62"/>
      <c r="AN882" s="62"/>
      <c r="AO882" s="62"/>
      <c r="AP882" s="62"/>
      <c r="AQ882" s="62"/>
      <c r="AR882" s="62"/>
      <c r="AS882" s="62"/>
      <c r="AT882" s="62"/>
      <c r="AU882" s="62"/>
      <c r="AV882" s="62"/>
      <c r="AW882" s="62"/>
      <c r="AX882" s="62"/>
      <c r="AY882" s="62"/>
      <c r="AZ882" s="62"/>
      <c r="BA882" s="62"/>
      <c r="BB882" s="62"/>
      <c r="BC882" s="62"/>
      <c r="BD882" s="62"/>
      <c r="BE882" s="62"/>
      <c r="BF882" s="62"/>
      <c r="BG882" s="62"/>
      <c r="BH882" s="62"/>
      <c r="BI882" s="62"/>
      <c r="BJ882" s="62"/>
      <c r="BK882" s="62"/>
      <c r="BL882" s="62"/>
      <c r="BM882" s="62"/>
      <c r="BN882" s="62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62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62"/>
      <c r="AF883" s="62"/>
      <c r="AG883" s="62"/>
      <c r="AH883" s="62"/>
      <c r="AI883" s="62"/>
      <c r="AJ883" s="62"/>
      <c r="AK883" s="62"/>
      <c r="AL883" s="62"/>
      <c r="AM883" s="62"/>
      <c r="AN883" s="62"/>
      <c r="AO883" s="62"/>
      <c r="AP883" s="62"/>
      <c r="AQ883" s="62"/>
      <c r="AR883" s="62"/>
      <c r="AS883" s="62"/>
      <c r="AT883" s="62"/>
      <c r="AU883" s="62"/>
      <c r="AV883" s="62"/>
      <c r="AW883" s="62"/>
      <c r="AX883" s="62"/>
      <c r="AY883" s="62"/>
      <c r="AZ883" s="62"/>
      <c r="BA883" s="62"/>
      <c r="BB883" s="62"/>
      <c r="BC883" s="62"/>
      <c r="BD883" s="62"/>
      <c r="BE883" s="62"/>
      <c r="BF883" s="62"/>
      <c r="BG883" s="62"/>
      <c r="BH883" s="62"/>
      <c r="BI883" s="62"/>
      <c r="BJ883" s="62"/>
      <c r="BK883" s="62"/>
      <c r="BL883" s="62"/>
      <c r="BM883" s="62"/>
      <c r="BN883" s="62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62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62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62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62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62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62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62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62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62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62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62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62"/>
      <c r="AF894" s="62"/>
      <c r="AG894" s="62"/>
      <c r="AH894" s="62"/>
      <c r="AI894" s="62"/>
      <c r="AJ894" s="62"/>
      <c r="AK894" s="62"/>
      <c r="AL894" s="62"/>
      <c r="AM894" s="62"/>
      <c r="AN894" s="62"/>
      <c r="AO894" s="62"/>
      <c r="AP894" s="62"/>
      <c r="AQ894" s="62"/>
      <c r="AR894" s="62"/>
      <c r="AS894" s="62"/>
      <c r="AT894" s="62"/>
      <c r="AU894" s="62"/>
      <c r="AV894" s="62"/>
      <c r="AW894" s="62"/>
      <c r="AX894" s="62"/>
      <c r="AY894" s="62"/>
      <c r="AZ894" s="62"/>
      <c r="BA894" s="62"/>
      <c r="BB894" s="62"/>
      <c r="BC894" s="62"/>
      <c r="BD894" s="62"/>
      <c r="BE894" s="62"/>
      <c r="BF894" s="62"/>
      <c r="BG894" s="62"/>
      <c r="BH894" s="62"/>
      <c r="BI894" s="62"/>
      <c r="BJ894" s="62"/>
      <c r="BK894" s="62"/>
      <c r="BL894" s="62"/>
      <c r="BM894" s="62"/>
      <c r="BN894" s="62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62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62"/>
      <c r="AF895" s="62"/>
      <c r="AG895" s="62"/>
      <c r="AH895" s="62"/>
      <c r="AI895" s="62"/>
      <c r="AJ895" s="62"/>
      <c r="AK895" s="62"/>
      <c r="AL895" s="62"/>
      <c r="AM895" s="62"/>
      <c r="AN895" s="62"/>
      <c r="AO895" s="62"/>
      <c r="AP895" s="62"/>
      <c r="AQ895" s="62"/>
      <c r="AR895" s="62"/>
      <c r="AS895" s="62"/>
      <c r="AT895" s="62"/>
      <c r="AU895" s="62"/>
      <c r="AV895" s="62"/>
      <c r="AW895" s="62"/>
      <c r="AX895" s="62"/>
      <c r="AY895" s="62"/>
      <c r="AZ895" s="62"/>
      <c r="BA895" s="62"/>
      <c r="BB895" s="62"/>
      <c r="BC895" s="62"/>
      <c r="BD895" s="62"/>
      <c r="BE895" s="62"/>
      <c r="BF895" s="62"/>
      <c r="BG895" s="62"/>
      <c r="BH895" s="62"/>
      <c r="BI895" s="62"/>
      <c r="BJ895" s="62"/>
      <c r="BK895" s="62"/>
      <c r="BL895" s="62"/>
      <c r="BM895" s="62"/>
      <c r="BN895" s="62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62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62"/>
      <c r="AF896" s="62"/>
      <c r="AG896" s="62"/>
      <c r="AH896" s="62"/>
      <c r="AI896" s="62"/>
      <c r="AJ896" s="62"/>
      <c r="AK896" s="62"/>
      <c r="AL896" s="62"/>
      <c r="AM896" s="62"/>
      <c r="AN896" s="62"/>
      <c r="AO896" s="62"/>
      <c r="AP896" s="62"/>
      <c r="AQ896" s="62"/>
      <c r="AR896" s="62"/>
      <c r="AS896" s="62"/>
      <c r="AT896" s="62"/>
      <c r="AU896" s="62"/>
      <c r="AV896" s="62"/>
      <c r="AW896" s="62"/>
      <c r="AX896" s="62"/>
      <c r="AY896" s="62"/>
      <c r="AZ896" s="62"/>
      <c r="BA896" s="62"/>
      <c r="BB896" s="62"/>
      <c r="BC896" s="62"/>
      <c r="BD896" s="62"/>
      <c r="BE896" s="62"/>
      <c r="BF896" s="62"/>
      <c r="BG896" s="62"/>
      <c r="BH896" s="62"/>
      <c r="BI896" s="62"/>
      <c r="BJ896" s="62"/>
      <c r="BK896" s="62"/>
      <c r="BL896" s="62"/>
      <c r="BM896" s="62"/>
      <c r="BN896" s="62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62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62"/>
      <c r="AF897" s="62"/>
      <c r="AG897" s="62"/>
      <c r="AH897" s="62"/>
      <c r="AI897" s="62"/>
      <c r="AJ897" s="62"/>
      <c r="AK897" s="62"/>
      <c r="AL897" s="62"/>
      <c r="AM897" s="62"/>
      <c r="AN897" s="62"/>
      <c r="AO897" s="62"/>
      <c r="AP897" s="62"/>
      <c r="AQ897" s="62"/>
      <c r="AR897" s="62"/>
      <c r="AS897" s="62"/>
      <c r="AT897" s="62"/>
      <c r="AU897" s="62"/>
      <c r="AV897" s="62"/>
      <c r="AW897" s="62"/>
      <c r="AX897" s="62"/>
      <c r="AY897" s="62"/>
      <c r="AZ897" s="62"/>
      <c r="BA897" s="62"/>
      <c r="BB897" s="62"/>
      <c r="BC897" s="62"/>
      <c r="BD897" s="62"/>
      <c r="BE897" s="62"/>
      <c r="BF897" s="62"/>
      <c r="BG897" s="62"/>
      <c r="BH897" s="62"/>
      <c r="BI897" s="62"/>
      <c r="BJ897" s="62"/>
      <c r="BK897" s="62"/>
      <c r="BL897" s="62"/>
      <c r="BM897" s="62"/>
      <c r="BN897" s="62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62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62"/>
      <c r="AF898" s="62"/>
      <c r="AG898" s="62"/>
      <c r="AH898" s="62"/>
      <c r="AI898" s="62"/>
      <c r="AJ898" s="62"/>
      <c r="AK898" s="62"/>
      <c r="AL898" s="62"/>
      <c r="AM898" s="62"/>
      <c r="AN898" s="62"/>
      <c r="AO898" s="62"/>
      <c r="AP898" s="62"/>
      <c r="AQ898" s="62"/>
      <c r="AR898" s="62"/>
      <c r="AS898" s="62"/>
      <c r="AT898" s="62"/>
      <c r="AU898" s="62"/>
      <c r="AV898" s="62"/>
      <c r="AW898" s="62"/>
      <c r="AX898" s="62"/>
      <c r="AY898" s="62"/>
      <c r="AZ898" s="62"/>
      <c r="BA898" s="62"/>
      <c r="BB898" s="62"/>
      <c r="BC898" s="62"/>
      <c r="BD898" s="62"/>
      <c r="BE898" s="62"/>
      <c r="BF898" s="62"/>
      <c r="BG898" s="62"/>
      <c r="BH898" s="62"/>
      <c r="BI898" s="62"/>
      <c r="BJ898" s="62"/>
      <c r="BK898" s="62"/>
      <c r="BL898" s="62"/>
      <c r="BM898" s="62"/>
      <c r="BN898" s="62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62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62"/>
      <c r="AF899" s="62"/>
      <c r="AG899" s="62"/>
      <c r="AH899" s="62"/>
      <c r="AI899" s="62"/>
      <c r="AJ899" s="62"/>
      <c r="AK899" s="62"/>
      <c r="AL899" s="62"/>
      <c r="AM899" s="62"/>
      <c r="AN899" s="62"/>
      <c r="AO899" s="62"/>
      <c r="AP899" s="62"/>
      <c r="AQ899" s="62"/>
      <c r="AR899" s="62"/>
      <c r="AS899" s="62"/>
      <c r="AT899" s="62"/>
      <c r="AU899" s="62"/>
      <c r="AV899" s="62"/>
      <c r="AW899" s="62"/>
      <c r="AX899" s="62"/>
      <c r="AY899" s="62"/>
      <c r="AZ899" s="62"/>
      <c r="BA899" s="62"/>
      <c r="BB899" s="62"/>
      <c r="BC899" s="62"/>
      <c r="BD899" s="62"/>
      <c r="BE899" s="62"/>
      <c r="BF899" s="62"/>
      <c r="BG899" s="62"/>
      <c r="BH899" s="62"/>
      <c r="BI899" s="62"/>
      <c r="BJ899" s="62"/>
      <c r="BK899" s="62"/>
      <c r="BL899" s="62"/>
      <c r="BM899" s="62"/>
      <c r="BN899" s="62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62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62"/>
      <c r="AF900" s="62"/>
      <c r="AG900" s="62"/>
      <c r="AH900" s="62"/>
      <c r="AI900" s="62"/>
      <c r="AJ900" s="62"/>
      <c r="AK900" s="62"/>
      <c r="AL900" s="62"/>
      <c r="AM900" s="62"/>
      <c r="AN900" s="62"/>
      <c r="AO900" s="62"/>
      <c r="AP900" s="62"/>
      <c r="AQ900" s="62"/>
      <c r="AR900" s="62"/>
      <c r="AS900" s="62"/>
      <c r="AT900" s="62"/>
      <c r="AU900" s="62"/>
      <c r="AV900" s="62"/>
      <c r="AW900" s="62"/>
      <c r="AX900" s="62"/>
      <c r="AY900" s="62"/>
      <c r="AZ900" s="62"/>
      <c r="BA900" s="62"/>
      <c r="BB900" s="62"/>
      <c r="BC900" s="62"/>
      <c r="BD900" s="62"/>
      <c r="BE900" s="62"/>
      <c r="BF900" s="62"/>
      <c r="BG900" s="62"/>
      <c r="BH900" s="62"/>
      <c r="BI900" s="62"/>
      <c r="BJ900" s="62"/>
      <c r="BK900" s="62"/>
      <c r="BL900" s="62"/>
      <c r="BM900" s="62"/>
      <c r="BN900" s="62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62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62"/>
      <c r="AF901" s="62"/>
      <c r="AG901" s="62"/>
      <c r="AH901" s="62"/>
      <c r="AI901" s="62"/>
      <c r="AJ901" s="62"/>
      <c r="AK901" s="62"/>
      <c r="AL901" s="62"/>
      <c r="AM901" s="62"/>
      <c r="AN901" s="62"/>
      <c r="AO901" s="62"/>
      <c r="AP901" s="62"/>
      <c r="AQ901" s="62"/>
      <c r="AR901" s="62"/>
      <c r="AS901" s="62"/>
      <c r="AT901" s="62"/>
      <c r="AU901" s="62"/>
      <c r="AV901" s="62"/>
      <c r="AW901" s="62"/>
      <c r="AX901" s="62"/>
      <c r="AY901" s="62"/>
      <c r="AZ901" s="62"/>
      <c r="BA901" s="62"/>
      <c r="BB901" s="62"/>
      <c r="BC901" s="62"/>
      <c r="BD901" s="62"/>
      <c r="BE901" s="62"/>
      <c r="BF901" s="62"/>
      <c r="BG901" s="62"/>
      <c r="BH901" s="62"/>
      <c r="BI901" s="62"/>
      <c r="BJ901" s="62"/>
      <c r="BK901" s="62"/>
      <c r="BL901" s="62"/>
      <c r="BM901" s="62"/>
      <c r="BN901" s="62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62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62"/>
      <c r="AF902" s="62"/>
      <c r="AG902" s="62"/>
      <c r="AH902" s="62"/>
      <c r="AI902" s="62"/>
      <c r="AJ902" s="62"/>
      <c r="AK902" s="62"/>
      <c r="AL902" s="62"/>
      <c r="AM902" s="62"/>
      <c r="AN902" s="62"/>
      <c r="AO902" s="62"/>
      <c r="AP902" s="62"/>
      <c r="AQ902" s="62"/>
      <c r="AR902" s="62"/>
      <c r="AS902" s="62"/>
      <c r="AT902" s="62"/>
      <c r="AU902" s="62"/>
      <c r="AV902" s="62"/>
      <c r="AW902" s="62"/>
      <c r="AX902" s="62"/>
      <c r="AY902" s="62"/>
      <c r="AZ902" s="62"/>
      <c r="BA902" s="62"/>
      <c r="BB902" s="62"/>
      <c r="BC902" s="62"/>
      <c r="BD902" s="62"/>
      <c r="BE902" s="62"/>
      <c r="BF902" s="62"/>
      <c r="BG902" s="62"/>
      <c r="BH902" s="62"/>
      <c r="BI902" s="62"/>
      <c r="BJ902" s="62"/>
      <c r="BK902" s="62"/>
      <c r="BL902" s="62"/>
      <c r="BM902" s="62"/>
      <c r="BN902" s="62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62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62"/>
      <c r="AF903" s="62"/>
      <c r="AG903" s="62"/>
      <c r="AH903" s="62"/>
      <c r="AI903" s="62"/>
      <c r="AJ903" s="62"/>
      <c r="AK903" s="62"/>
      <c r="AL903" s="62"/>
      <c r="AM903" s="62"/>
      <c r="AN903" s="62"/>
      <c r="AO903" s="62"/>
      <c r="AP903" s="62"/>
      <c r="AQ903" s="62"/>
      <c r="AR903" s="62"/>
      <c r="AS903" s="62"/>
      <c r="AT903" s="62"/>
      <c r="AU903" s="62"/>
      <c r="AV903" s="62"/>
      <c r="AW903" s="62"/>
      <c r="AX903" s="62"/>
      <c r="AY903" s="62"/>
      <c r="AZ903" s="62"/>
      <c r="BA903" s="62"/>
      <c r="BB903" s="62"/>
      <c r="BC903" s="62"/>
      <c r="BD903" s="62"/>
      <c r="BE903" s="62"/>
      <c r="BF903" s="62"/>
      <c r="BG903" s="62"/>
      <c r="BH903" s="62"/>
      <c r="BI903" s="62"/>
      <c r="BJ903" s="62"/>
      <c r="BK903" s="62"/>
      <c r="BL903" s="62"/>
      <c r="BM903" s="62"/>
      <c r="BN903" s="62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62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62"/>
      <c r="AF904" s="62"/>
      <c r="AG904" s="62"/>
      <c r="AH904" s="62"/>
      <c r="AI904" s="62"/>
      <c r="AJ904" s="62"/>
      <c r="AK904" s="62"/>
      <c r="AL904" s="62"/>
      <c r="AM904" s="62"/>
      <c r="AN904" s="62"/>
      <c r="AO904" s="62"/>
      <c r="AP904" s="62"/>
      <c r="AQ904" s="62"/>
      <c r="AR904" s="62"/>
      <c r="AS904" s="62"/>
      <c r="AT904" s="62"/>
      <c r="AU904" s="62"/>
      <c r="AV904" s="62"/>
      <c r="AW904" s="62"/>
      <c r="AX904" s="62"/>
      <c r="AY904" s="62"/>
      <c r="AZ904" s="62"/>
      <c r="BA904" s="62"/>
      <c r="BB904" s="62"/>
      <c r="BC904" s="62"/>
      <c r="BD904" s="62"/>
      <c r="BE904" s="62"/>
      <c r="BF904" s="62"/>
      <c r="BG904" s="62"/>
      <c r="BH904" s="62"/>
      <c r="BI904" s="62"/>
      <c r="BJ904" s="62"/>
      <c r="BK904" s="62"/>
      <c r="BL904" s="62"/>
      <c r="BM904" s="62"/>
      <c r="BN904" s="62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62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62"/>
      <c r="AF905" s="62"/>
      <c r="AG905" s="62"/>
      <c r="AH905" s="62"/>
      <c r="AI905" s="62"/>
      <c r="AJ905" s="62"/>
      <c r="AK905" s="62"/>
      <c r="AL905" s="62"/>
      <c r="AM905" s="62"/>
      <c r="AN905" s="62"/>
      <c r="AO905" s="62"/>
      <c r="AP905" s="62"/>
      <c r="AQ905" s="62"/>
      <c r="AR905" s="62"/>
      <c r="AS905" s="62"/>
      <c r="AT905" s="62"/>
      <c r="AU905" s="62"/>
      <c r="AV905" s="62"/>
      <c r="AW905" s="62"/>
      <c r="AX905" s="62"/>
      <c r="AY905" s="62"/>
      <c r="AZ905" s="62"/>
      <c r="BA905" s="62"/>
      <c r="BB905" s="62"/>
      <c r="BC905" s="62"/>
      <c r="BD905" s="62"/>
      <c r="BE905" s="62"/>
      <c r="BF905" s="62"/>
      <c r="BG905" s="62"/>
      <c r="BH905" s="62"/>
      <c r="BI905" s="62"/>
      <c r="BJ905" s="62"/>
      <c r="BK905" s="62"/>
      <c r="BL905" s="62"/>
      <c r="BM905" s="62"/>
      <c r="BN905" s="62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62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62"/>
      <c r="AF906" s="62"/>
      <c r="AG906" s="62"/>
      <c r="AH906" s="62"/>
      <c r="AI906" s="62"/>
      <c r="AJ906" s="62"/>
      <c r="AK906" s="62"/>
      <c r="AL906" s="62"/>
      <c r="AM906" s="62"/>
      <c r="AN906" s="62"/>
      <c r="AO906" s="62"/>
      <c r="AP906" s="62"/>
      <c r="AQ906" s="62"/>
      <c r="AR906" s="62"/>
      <c r="AS906" s="62"/>
      <c r="AT906" s="62"/>
      <c r="AU906" s="62"/>
      <c r="AV906" s="62"/>
      <c r="AW906" s="62"/>
      <c r="AX906" s="62"/>
      <c r="AY906" s="62"/>
      <c r="AZ906" s="62"/>
      <c r="BA906" s="62"/>
      <c r="BB906" s="62"/>
      <c r="BC906" s="62"/>
      <c r="BD906" s="62"/>
      <c r="BE906" s="62"/>
      <c r="BF906" s="62"/>
      <c r="BG906" s="62"/>
      <c r="BH906" s="62"/>
      <c r="BI906" s="62"/>
      <c r="BJ906" s="62"/>
      <c r="BK906" s="62"/>
      <c r="BL906" s="62"/>
      <c r="BM906" s="62"/>
      <c r="BN906" s="62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62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62"/>
      <c r="AF907" s="62"/>
      <c r="AG907" s="62"/>
      <c r="AH907" s="62"/>
      <c r="AI907" s="62"/>
      <c r="AJ907" s="62"/>
      <c r="AK907" s="62"/>
      <c r="AL907" s="62"/>
      <c r="AM907" s="62"/>
      <c r="AN907" s="62"/>
      <c r="AO907" s="62"/>
      <c r="AP907" s="62"/>
      <c r="AQ907" s="62"/>
      <c r="AR907" s="62"/>
      <c r="AS907" s="62"/>
      <c r="AT907" s="62"/>
      <c r="AU907" s="62"/>
      <c r="AV907" s="62"/>
      <c r="AW907" s="62"/>
      <c r="AX907" s="62"/>
      <c r="AY907" s="62"/>
      <c r="AZ907" s="62"/>
      <c r="BA907" s="62"/>
      <c r="BB907" s="62"/>
      <c r="BC907" s="62"/>
      <c r="BD907" s="62"/>
      <c r="BE907" s="62"/>
      <c r="BF907" s="62"/>
      <c r="BG907" s="62"/>
      <c r="BH907" s="62"/>
      <c r="BI907" s="62"/>
      <c r="BJ907" s="62"/>
      <c r="BK907" s="62"/>
      <c r="BL907" s="62"/>
      <c r="BM907" s="62"/>
      <c r="BN907" s="62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62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62"/>
      <c r="AF908" s="62"/>
      <c r="AG908" s="62"/>
      <c r="AH908" s="62"/>
      <c r="AI908" s="62"/>
      <c r="AJ908" s="62"/>
      <c r="AK908" s="62"/>
      <c r="AL908" s="62"/>
      <c r="AM908" s="62"/>
      <c r="AN908" s="62"/>
      <c r="AO908" s="62"/>
      <c r="AP908" s="62"/>
      <c r="AQ908" s="62"/>
      <c r="AR908" s="62"/>
      <c r="AS908" s="62"/>
      <c r="AT908" s="62"/>
      <c r="AU908" s="62"/>
      <c r="AV908" s="62"/>
      <c r="AW908" s="62"/>
      <c r="AX908" s="62"/>
      <c r="AY908" s="62"/>
      <c r="AZ908" s="62"/>
      <c r="BA908" s="62"/>
      <c r="BB908" s="62"/>
      <c r="BC908" s="62"/>
      <c r="BD908" s="62"/>
      <c r="BE908" s="62"/>
      <c r="BF908" s="62"/>
      <c r="BG908" s="62"/>
      <c r="BH908" s="62"/>
      <c r="BI908" s="62"/>
      <c r="BJ908" s="62"/>
      <c r="BK908" s="62"/>
      <c r="BL908" s="62"/>
      <c r="BM908" s="62"/>
      <c r="BN908" s="62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62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62"/>
      <c r="AF909" s="62"/>
      <c r="AG909" s="62"/>
      <c r="AH909" s="62"/>
      <c r="AI909" s="62"/>
      <c r="AJ909" s="62"/>
      <c r="AK909" s="62"/>
      <c r="AL909" s="62"/>
      <c r="AM909" s="62"/>
      <c r="AN909" s="62"/>
      <c r="AO909" s="62"/>
      <c r="AP909" s="62"/>
      <c r="AQ909" s="62"/>
      <c r="AR909" s="62"/>
      <c r="AS909" s="62"/>
      <c r="AT909" s="62"/>
      <c r="AU909" s="62"/>
      <c r="AV909" s="62"/>
      <c r="AW909" s="62"/>
      <c r="AX909" s="62"/>
      <c r="AY909" s="62"/>
      <c r="AZ909" s="62"/>
      <c r="BA909" s="62"/>
      <c r="BB909" s="62"/>
      <c r="BC909" s="62"/>
      <c r="BD909" s="62"/>
      <c r="BE909" s="62"/>
      <c r="BF909" s="62"/>
      <c r="BG909" s="62"/>
      <c r="BH909" s="62"/>
      <c r="BI909" s="62"/>
      <c r="BJ909" s="62"/>
      <c r="BK909" s="62"/>
      <c r="BL909" s="62"/>
      <c r="BM909" s="62"/>
      <c r="BN909" s="62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62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62"/>
      <c r="AF910" s="62"/>
      <c r="AG910" s="62"/>
      <c r="AH910" s="62"/>
      <c r="AI910" s="62"/>
      <c r="AJ910" s="62"/>
      <c r="AK910" s="62"/>
      <c r="AL910" s="62"/>
      <c r="AM910" s="62"/>
      <c r="AN910" s="62"/>
      <c r="AO910" s="62"/>
      <c r="AP910" s="62"/>
      <c r="AQ910" s="62"/>
      <c r="AR910" s="62"/>
      <c r="AS910" s="62"/>
      <c r="AT910" s="62"/>
      <c r="AU910" s="62"/>
      <c r="AV910" s="62"/>
      <c r="AW910" s="62"/>
      <c r="AX910" s="62"/>
      <c r="AY910" s="62"/>
      <c r="AZ910" s="62"/>
      <c r="BA910" s="62"/>
      <c r="BB910" s="62"/>
      <c r="BC910" s="62"/>
      <c r="BD910" s="62"/>
      <c r="BE910" s="62"/>
      <c r="BF910" s="62"/>
      <c r="BG910" s="62"/>
      <c r="BH910" s="62"/>
      <c r="BI910" s="62"/>
      <c r="BJ910" s="62"/>
      <c r="BK910" s="62"/>
      <c r="BL910" s="62"/>
      <c r="BM910" s="62"/>
      <c r="BN910" s="62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62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62"/>
      <c r="AF911" s="62"/>
      <c r="AG911" s="62"/>
      <c r="AH911" s="62"/>
      <c r="AI911" s="62"/>
      <c r="AJ911" s="62"/>
      <c r="AK911" s="62"/>
      <c r="AL911" s="62"/>
      <c r="AM911" s="62"/>
      <c r="AN911" s="62"/>
      <c r="AO911" s="62"/>
      <c r="AP911" s="62"/>
      <c r="AQ911" s="62"/>
      <c r="AR911" s="62"/>
      <c r="AS911" s="62"/>
      <c r="AT911" s="62"/>
      <c r="AU911" s="62"/>
      <c r="AV911" s="62"/>
      <c r="AW911" s="62"/>
      <c r="AX911" s="62"/>
      <c r="AY911" s="62"/>
      <c r="AZ911" s="62"/>
      <c r="BA911" s="62"/>
      <c r="BB911" s="62"/>
      <c r="BC911" s="62"/>
      <c r="BD911" s="62"/>
      <c r="BE911" s="62"/>
      <c r="BF911" s="62"/>
      <c r="BG911" s="62"/>
      <c r="BH911" s="62"/>
      <c r="BI911" s="62"/>
      <c r="BJ911" s="62"/>
      <c r="BK911" s="62"/>
      <c r="BL911" s="62"/>
      <c r="BM911" s="62"/>
      <c r="BN911" s="62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62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62"/>
      <c r="AF912" s="62"/>
      <c r="AG912" s="62"/>
      <c r="AH912" s="62"/>
      <c r="AI912" s="62"/>
      <c r="AJ912" s="62"/>
      <c r="AK912" s="62"/>
      <c r="AL912" s="62"/>
      <c r="AM912" s="62"/>
      <c r="AN912" s="62"/>
      <c r="AO912" s="62"/>
      <c r="AP912" s="62"/>
      <c r="AQ912" s="62"/>
      <c r="AR912" s="62"/>
      <c r="AS912" s="62"/>
      <c r="AT912" s="62"/>
      <c r="AU912" s="62"/>
      <c r="AV912" s="62"/>
      <c r="AW912" s="62"/>
      <c r="AX912" s="62"/>
      <c r="AY912" s="62"/>
      <c r="AZ912" s="62"/>
      <c r="BA912" s="62"/>
      <c r="BB912" s="62"/>
      <c r="BC912" s="62"/>
      <c r="BD912" s="62"/>
      <c r="BE912" s="62"/>
      <c r="BF912" s="62"/>
      <c r="BG912" s="62"/>
      <c r="BH912" s="62"/>
      <c r="BI912" s="62"/>
      <c r="BJ912" s="62"/>
      <c r="BK912" s="62"/>
      <c r="BL912" s="62"/>
      <c r="BM912" s="62"/>
      <c r="BN912" s="62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62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62"/>
      <c r="AF913" s="62"/>
      <c r="AG913" s="62"/>
      <c r="AH913" s="62"/>
      <c r="AI913" s="62"/>
      <c r="AJ913" s="62"/>
      <c r="AK913" s="62"/>
      <c r="AL913" s="62"/>
      <c r="AM913" s="62"/>
      <c r="AN913" s="62"/>
      <c r="AO913" s="62"/>
      <c r="AP913" s="62"/>
      <c r="AQ913" s="62"/>
      <c r="AR913" s="62"/>
      <c r="AS913" s="62"/>
      <c r="AT913" s="62"/>
      <c r="AU913" s="62"/>
      <c r="AV913" s="62"/>
      <c r="AW913" s="62"/>
      <c r="AX913" s="62"/>
      <c r="AY913" s="62"/>
      <c r="AZ913" s="62"/>
      <c r="BA913" s="62"/>
      <c r="BB913" s="62"/>
      <c r="BC913" s="62"/>
      <c r="BD913" s="62"/>
      <c r="BE913" s="62"/>
      <c r="BF913" s="62"/>
      <c r="BG913" s="62"/>
      <c r="BH913" s="62"/>
      <c r="BI913" s="62"/>
      <c r="BJ913" s="62"/>
      <c r="BK913" s="62"/>
      <c r="BL913" s="62"/>
      <c r="BM913" s="62"/>
      <c r="BN913" s="62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62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62"/>
      <c r="AF914" s="62"/>
      <c r="AG914" s="62"/>
      <c r="AH914" s="62"/>
      <c r="AI914" s="62"/>
      <c r="AJ914" s="62"/>
      <c r="AK914" s="62"/>
      <c r="AL914" s="62"/>
      <c r="AM914" s="62"/>
      <c r="AN914" s="62"/>
      <c r="AO914" s="62"/>
      <c r="AP914" s="62"/>
      <c r="AQ914" s="62"/>
      <c r="AR914" s="62"/>
      <c r="AS914" s="62"/>
      <c r="AT914" s="62"/>
      <c r="AU914" s="62"/>
      <c r="AV914" s="62"/>
      <c r="AW914" s="62"/>
      <c r="AX914" s="62"/>
      <c r="AY914" s="62"/>
      <c r="AZ914" s="62"/>
      <c r="BA914" s="62"/>
      <c r="BB914" s="62"/>
      <c r="BC914" s="62"/>
      <c r="BD914" s="62"/>
      <c r="BE914" s="62"/>
      <c r="BF914" s="62"/>
      <c r="BG914" s="62"/>
      <c r="BH914" s="62"/>
      <c r="BI914" s="62"/>
      <c r="BJ914" s="62"/>
      <c r="BK914" s="62"/>
      <c r="BL914" s="62"/>
      <c r="BM914" s="62"/>
      <c r="BN914" s="62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62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62"/>
      <c r="AF915" s="62"/>
      <c r="AG915" s="62"/>
      <c r="AH915" s="62"/>
      <c r="AI915" s="62"/>
      <c r="AJ915" s="62"/>
      <c r="AK915" s="62"/>
      <c r="AL915" s="62"/>
      <c r="AM915" s="62"/>
      <c r="AN915" s="62"/>
      <c r="AO915" s="62"/>
      <c r="AP915" s="62"/>
      <c r="AQ915" s="62"/>
      <c r="AR915" s="62"/>
      <c r="AS915" s="62"/>
      <c r="AT915" s="62"/>
      <c r="AU915" s="62"/>
      <c r="AV915" s="62"/>
      <c r="AW915" s="62"/>
      <c r="AX915" s="62"/>
      <c r="AY915" s="62"/>
      <c r="AZ915" s="62"/>
      <c r="BA915" s="62"/>
      <c r="BB915" s="62"/>
      <c r="BC915" s="62"/>
      <c r="BD915" s="62"/>
      <c r="BE915" s="62"/>
      <c r="BF915" s="62"/>
      <c r="BG915" s="62"/>
      <c r="BH915" s="62"/>
      <c r="BI915" s="62"/>
      <c r="BJ915" s="62"/>
      <c r="BK915" s="62"/>
      <c r="BL915" s="62"/>
      <c r="BM915" s="62"/>
      <c r="BN915" s="62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62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62"/>
      <c r="AF916" s="62"/>
      <c r="AG916" s="62"/>
      <c r="AH916" s="62"/>
      <c r="AI916" s="62"/>
      <c r="AJ916" s="62"/>
      <c r="AK916" s="62"/>
      <c r="AL916" s="62"/>
      <c r="AM916" s="62"/>
      <c r="AN916" s="62"/>
      <c r="AO916" s="62"/>
      <c r="AP916" s="62"/>
      <c r="AQ916" s="62"/>
      <c r="AR916" s="62"/>
      <c r="AS916" s="62"/>
      <c r="AT916" s="62"/>
      <c r="AU916" s="62"/>
      <c r="AV916" s="62"/>
      <c r="AW916" s="62"/>
      <c r="AX916" s="62"/>
      <c r="AY916" s="62"/>
      <c r="AZ916" s="62"/>
      <c r="BA916" s="62"/>
      <c r="BB916" s="62"/>
      <c r="BC916" s="62"/>
      <c r="BD916" s="62"/>
      <c r="BE916" s="62"/>
      <c r="BF916" s="62"/>
      <c r="BG916" s="62"/>
      <c r="BH916" s="62"/>
      <c r="BI916" s="62"/>
      <c r="BJ916" s="62"/>
      <c r="BK916" s="62"/>
      <c r="BL916" s="62"/>
      <c r="BM916" s="62"/>
      <c r="BN916" s="62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62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62"/>
      <c r="AF917" s="62"/>
      <c r="AG917" s="62"/>
      <c r="AH917" s="62"/>
      <c r="AI917" s="62"/>
      <c r="AJ917" s="62"/>
      <c r="AK917" s="62"/>
      <c r="AL917" s="62"/>
      <c r="AM917" s="62"/>
      <c r="AN917" s="62"/>
      <c r="AO917" s="62"/>
      <c r="AP917" s="62"/>
      <c r="AQ917" s="62"/>
      <c r="AR917" s="62"/>
      <c r="AS917" s="62"/>
      <c r="AT917" s="62"/>
      <c r="AU917" s="62"/>
      <c r="AV917" s="62"/>
      <c r="AW917" s="62"/>
      <c r="AX917" s="62"/>
      <c r="AY917" s="62"/>
      <c r="AZ917" s="62"/>
      <c r="BA917" s="62"/>
      <c r="BB917" s="62"/>
      <c r="BC917" s="62"/>
      <c r="BD917" s="62"/>
      <c r="BE917" s="62"/>
      <c r="BF917" s="62"/>
      <c r="BG917" s="62"/>
      <c r="BH917" s="62"/>
      <c r="BI917" s="62"/>
      <c r="BJ917" s="62"/>
      <c r="BK917" s="62"/>
      <c r="BL917" s="62"/>
      <c r="BM917" s="62"/>
      <c r="BN917" s="62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62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/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2"/>
      <c r="BJ918" s="62"/>
      <c r="BK918" s="62"/>
      <c r="BL918" s="62"/>
      <c r="BM918" s="62"/>
      <c r="BN918" s="62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62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2"/>
      <c r="BJ919" s="62"/>
      <c r="BK919" s="62"/>
      <c r="BL919" s="62"/>
      <c r="BM919" s="62"/>
      <c r="BN919" s="62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62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62"/>
      <c r="AF920" s="62"/>
      <c r="AG920" s="62"/>
      <c r="AH920" s="62"/>
      <c r="AI920" s="62"/>
      <c r="AJ920" s="62"/>
      <c r="AK920" s="62"/>
      <c r="AL920" s="62"/>
      <c r="AM920" s="62"/>
      <c r="AN920" s="62"/>
      <c r="AO920" s="62"/>
      <c r="AP920" s="62"/>
      <c r="AQ920" s="62"/>
      <c r="AR920" s="62"/>
      <c r="AS920" s="62"/>
      <c r="AT920" s="62"/>
      <c r="AU920" s="62"/>
      <c r="AV920" s="62"/>
      <c r="AW920" s="62"/>
      <c r="AX920" s="62"/>
      <c r="AY920" s="62"/>
      <c r="AZ920" s="62"/>
      <c r="BA920" s="62"/>
      <c r="BB920" s="62"/>
      <c r="BC920" s="62"/>
      <c r="BD920" s="62"/>
      <c r="BE920" s="62"/>
      <c r="BF920" s="62"/>
      <c r="BG920" s="62"/>
      <c r="BH920" s="62"/>
      <c r="BI920" s="62"/>
      <c r="BJ920" s="62"/>
      <c r="BK920" s="62"/>
      <c r="BL920" s="62"/>
      <c r="BM920" s="62"/>
      <c r="BN920" s="62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62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62"/>
      <c r="AF921" s="62"/>
      <c r="AG921" s="62"/>
      <c r="AH921" s="62"/>
      <c r="AI921" s="62"/>
      <c r="AJ921" s="62"/>
      <c r="AK921" s="62"/>
      <c r="AL921" s="62"/>
      <c r="AM921" s="62"/>
      <c r="AN921" s="62"/>
      <c r="AO921" s="62"/>
      <c r="AP921" s="62"/>
      <c r="AQ921" s="62"/>
      <c r="AR921" s="62"/>
      <c r="AS921" s="62"/>
      <c r="AT921" s="62"/>
      <c r="AU921" s="62"/>
      <c r="AV921" s="62"/>
      <c r="AW921" s="62"/>
      <c r="AX921" s="62"/>
      <c r="AY921" s="62"/>
      <c r="AZ921" s="62"/>
      <c r="BA921" s="62"/>
      <c r="BB921" s="62"/>
      <c r="BC921" s="62"/>
      <c r="BD921" s="62"/>
      <c r="BE921" s="62"/>
      <c r="BF921" s="62"/>
      <c r="BG921" s="62"/>
      <c r="BH921" s="62"/>
      <c r="BI921" s="62"/>
      <c r="BJ921" s="62"/>
      <c r="BK921" s="62"/>
      <c r="BL921" s="62"/>
      <c r="BM921" s="62"/>
      <c r="BN921" s="62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62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62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62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62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62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62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62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62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62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62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62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62"/>
      <c r="AF932" s="62"/>
      <c r="AG932" s="62"/>
      <c r="AH932" s="62"/>
      <c r="AI932" s="62"/>
      <c r="AJ932" s="62"/>
      <c r="AK932" s="62"/>
      <c r="AL932" s="62"/>
      <c r="AM932" s="62"/>
      <c r="AN932" s="62"/>
      <c r="AO932" s="62"/>
      <c r="AP932" s="62"/>
      <c r="AQ932" s="62"/>
      <c r="AR932" s="62"/>
      <c r="AS932" s="62"/>
      <c r="AT932" s="62"/>
      <c r="AU932" s="62"/>
      <c r="AV932" s="62"/>
      <c r="AW932" s="62"/>
      <c r="AX932" s="62"/>
      <c r="AY932" s="62"/>
      <c r="AZ932" s="62"/>
      <c r="BA932" s="62"/>
      <c r="BB932" s="62"/>
      <c r="BC932" s="62"/>
      <c r="BD932" s="62"/>
      <c r="BE932" s="62"/>
      <c r="BF932" s="62"/>
      <c r="BG932" s="62"/>
      <c r="BH932" s="62"/>
      <c r="BI932" s="62"/>
      <c r="BJ932" s="62"/>
      <c r="BK932" s="62"/>
      <c r="BL932" s="62"/>
      <c r="BM932" s="62"/>
      <c r="BN932" s="62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62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62"/>
      <c r="AF933" s="62"/>
      <c r="AG933" s="62"/>
      <c r="AH933" s="62"/>
      <c r="AI933" s="62"/>
      <c r="AJ933" s="62"/>
      <c r="AK933" s="62"/>
      <c r="AL933" s="62"/>
      <c r="AM933" s="62"/>
      <c r="AN933" s="62"/>
      <c r="AO933" s="62"/>
      <c r="AP933" s="62"/>
      <c r="AQ933" s="62"/>
      <c r="AR933" s="62"/>
      <c r="AS933" s="62"/>
      <c r="AT933" s="62"/>
      <c r="AU933" s="62"/>
      <c r="AV933" s="62"/>
      <c r="AW933" s="62"/>
      <c r="AX933" s="62"/>
      <c r="AY933" s="62"/>
      <c r="AZ933" s="62"/>
      <c r="BA933" s="62"/>
      <c r="BB933" s="62"/>
      <c r="BC933" s="62"/>
      <c r="BD933" s="62"/>
      <c r="BE933" s="62"/>
      <c r="BF933" s="62"/>
      <c r="BG933" s="62"/>
      <c r="BH933" s="62"/>
      <c r="BI933" s="62"/>
      <c r="BJ933" s="62"/>
      <c r="BK933" s="62"/>
      <c r="BL933" s="62"/>
      <c r="BM933" s="62"/>
      <c r="BN933" s="62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62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62"/>
      <c r="AF934" s="62"/>
      <c r="AG934" s="62"/>
      <c r="AH934" s="62"/>
      <c r="AI934" s="62"/>
      <c r="AJ934" s="62"/>
      <c r="AK934" s="62"/>
      <c r="AL934" s="62"/>
      <c r="AM934" s="62"/>
      <c r="AN934" s="62"/>
      <c r="AO934" s="62"/>
      <c r="AP934" s="62"/>
      <c r="AQ934" s="62"/>
      <c r="AR934" s="62"/>
      <c r="AS934" s="62"/>
      <c r="AT934" s="62"/>
      <c r="AU934" s="62"/>
      <c r="AV934" s="62"/>
      <c r="AW934" s="62"/>
      <c r="AX934" s="62"/>
      <c r="AY934" s="62"/>
      <c r="AZ934" s="62"/>
      <c r="BA934" s="62"/>
      <c r="BB934" s="62"/>
      <c r="BC934" s="62"/>
      <c r="BD934" s="62"/>
      <c r="BE934" s="62"/>
      <c r="BF934" s="62"/>
      <c r="BG934" s="62"/>
      <c r="BH934" s="62"/>
      <c r="BI934" s="62"/>
      <c r="BJ934" s="62"/>
      <c r="BK934" s="62"/>
      <c r="BL934" s="62"/>
      <c r="BM934" s="62"/>
      <c r="BN934" s="62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62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62"/>
      <c r="AF935" s="62"/>
      <c r="AG935" s="62"/>
      <c r="AH935" s="62"/>
      <c r="AI935" s="62"/>
      <c r="AJ935" s="62"/>
      <c r="AK935" s="62"/>
      <c r="AL935" s="62"/>
      <c r="AM935" s="62"/>
      <c r="AN935" s="62"/>
      <c r="AO935" s="62"/>
      <c r="AP935" s="62"/>
      <c r="AQ935" s="62"/>
      <c r="AR935" s="62"/>
      <c r="AS935" s="62"/>
      <c r="AT935" s="62"/>
      <c r="AU935" s="62"/>
      <c r="AV935" s="62"/>
      <c r="AW935" s="62"/>
      <c r="AX935" s="62"/>
      <c r="AY935" s="62"/>
      <c r="AZ935" s="62"/>
      <c r="BA935" s="62"/>
      <c r="BB935" s="62"/>
      <c r="BC935" s="62"/>
      <c r="BD935" s="62"/>
      <c r="BE935" s="62"/>
      <c r="BF935" s="62"/>
      <c r="BG935" s="62"/>
      <c r="BH935" s="62"/>
      <c r="BI935" s="62"/>
      <c r="BJ935" s="62"/>
      <c r="BK935" s="62"/>
      <c r="BL935" s="62"/>
      <c r="BM935" s="62"/>
      <c r="BN935" s="62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62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62"/>
      <c r="AF936" s="62"/>
      <c r="AG936" s="62"/>
      <c r="AH936" s="62"/>
      <c r="AI936" s="62"/>
      <c r="AJ936" s="62"/>
      <c r="AK936" s="62"/>
      <c r="AL936" s="62"/>
      <c r="AM936" s="62"/>
      <c r="AN936" s="62"/>
      <c r="AO936" s="62"/>
      <c r="AP936" s="62"/>
      <c r="AQ936" s="62"/>
      <c r="AR936" s="62"/>
      <c r="AS936" s="62"/>
      <c r="AT936" s="62"/>
      <c r="AU936" s="62"/>
      <c r="AV936" s="62"/>
      <c r="AW936" s="62"/>
      <c r="AX936" s="62"/>
      <c r="AY936" s="62"/>
      <c r="AZ936" s="62"/>
      <c r="BA936" s="62"/>
      <c r="BB936" s="62"/>
      <c r="BC936" s="62"/>
      <c r="BD936" s="62"/>
      <c r="BE936" s="62"/>
      <c r="BF936" s="62"/>
      <c r="BG936" s="62"/>
      <c r="BH936" s="62"/>
      <c r="BI936" s="62"/>
      <c r="BJ936" s="62"/>
      <c r="BK936" s="62"/>
      <c r="BL936" s="62"/>
      <c r="BM936" s="62"/>
      <c r="BN936" s="62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62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62"/>
      <c r="AF937" s="62"/>
      <c r="AG937" s="62"/>
      <c r="AH937" s="62"/>
      <c r="AI937" s="62"/>
      <c r="AJ937" s="62"/>
      <c r="AK937" s="62"/>
      <c r="AL937" s="62"/>
      <c r="AM937" s="62"/>
      <c r="AN937" s="62"/>
      <c r="AO937" s="62"/>
      <c r="AP937" s="62"/>
      <c r="AQ937" s="62"/>
      <c r="AR937" s="62"/>
      <c r="AS937" s="62"/>
      <c r="AT937" s="62"/>
      <c r="AU937" s="62"/>
      <c r="AV937" s="62"/>
      <c r="AW937" s="62"/>
      <c r="AX937" s="62"/>
      <c r="AY937" s="62"/>
      <c r="AZ937" s="62"/>
      <c r="BA937" s="62"/>
      <c r="BB937" s="62"/>
      <c r="BC937" s="62"/>
      <c r="BD937" s="62"/>
      <c r="BE937" s="62"/>
      <c r="BF937" s="62"/>
      <c r="BG937" s="62"/>
      <c r="BH937" s="62"/>
      <c r="BI937" s="62"/>
      <c r="BJ937" s="62"/>
      <c r="BK937" s="62"/>
      <c r="BL937" s="62"/>
      <c r="BM937" s="62"/>
      <c r="BN937" s="62"/>
    </row>
  </sheetData>
  <autoFilter ref="$A$2:$M$13">
    <sortState ref="A2:M13">
      <sortCondition ref="J2:J13"/>
    </sortState>
  </autoFilter>
  <mergeCells count="8">
    <mergeCell ref="S1:AE1"/>
    <mergeCell ref="AK1:AW1"/>
    <mergeCell ref="AJ17:AJ27"/>
    <mergeCell ref="AJ32:AJ42"/>
    <mergeCell ref="N59:N70"/>
    <mergeCell ref="AJ59:AJ70"/>
    <mergeCell ref="AJ73:AJ84"/>
    <mergeCell ref="BA73:BA8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2" t="s">
        <v>31</v>
      </c>
      <c r="B1" s="103"/>
      <c r="C1" s="104"/>
      <c r="D1" s="105" t="s">
        <v>32</v>
      </c>
      <c r="E1" s="103"/>
      <c r="F1" s="104"/>
    </row>
    <row r="2">
      <c r="A2" s="106" t="s">
        <v>0</v>
      </c>
      <c r="B2" s="107" t="s">
        <v>9</v>
      </c>
      <c r="C2" s="108" t="s">
        <v>12</v>
      </c>
      <c r="D2" s="109" t="s">
        <v>0</v>
      </c>
      <c r="E2" s="110" t="s">
        <v>9</v>
      </c>
      <c r="F2" s="111" t="s">
        <v>12</v>
      </c>
    </row>
    <row r="3">
      <c r="A3" s="112">
        <v>100043.0</v>
      </c>
      <c r="B3" s="113">
        <v>800.0</v>
      </c>
      <c r="C3" s="114">
        <v>4021.0</v>
      </c>
      <c r="D3" s="115">
        <v>100043.0</v>
      </c>
      <c r="E3" s="60">
        <v>800.0</v>
      </c>
      <c r="F3" s="116">
        <v>3535.0</v>
      </c>
    </row>
    <row r="4">
      <c r="A4" s="117">
        <v>100043.0</v>
      </c>
      <c r="B4" s="51">
        <v>850.0</v>
      </c>
      <c r="C4" s="118">
        <v>4260.0</v>
      </c>
      <c r="D4" s="115">
        <v>100043.0</v>
      </c>
      <c r="E4" s="55">
        <v>850.0</v>
      </c>
      <c r="F4" s="116">
        <v>3803.0</v>
      </c>
    </row>
    <row r="5">
      <c r="A5" s="117">
        <v>100043.0</v>
      </c>
      <c r="B5" s="51">
        <v>900.0</v>
      </c>
      <c r="C5" s="118">
        <v>4091.0</v>
      </c>
      <c r="D5" s="115">
        <v>100043.0</v>
      </c>
      <c r="E5" s="55">
        <v>900.0</v>
      </c>
      <c r="F5" s="116">
        <v>3704.0</v>
      </c>
    </row>
    <row r="6">
      <c r="A6" s="117">
        <v>100043.0</v>
      </c>
      <c r="B6" s="51">
        <v>950.0</v>
      </c>
      <c r="C6" s="118">
        <v>3912.0</v>
      </c>
      <c r="D6" s="115">
        <v>100043.0</v>
      </c>
      <c r="E6" s="55">
        <v>950.0</v>
      </c>
      <c r="F6" s="116">
        <v>3565.0</v>
      </c>
    </row>
    <row r="7">
      <c r="A7" s="117">
        <v>100043.0</v>
      </c>
      <c r="B7" s="51">
        <v>1000.0</v>
      </c>
      <c r="C7" s="118">
        <v>3783.0</v>
      </c>
      <c r="D7" s="115">
        <v>100043.0</v>
      </c>
      <c r="E7" s="55">
        <v>1000.0</v>
      </c>
      <c r="F7" s="116">
        <v>3435.0</v>
      </c>
    </row>
    <row r="8">
      <c r="A8" s="117">
        <v>100043.0</v>
      </c>
      <c r="B8" s="51">
        <v>1050.0</v>
      </c>
      <c r="C8" s="118">
        <v>3952.0</v>
      </c>
      <c r="D8" s="115">
        <v>100043.0</v>
      </c>
      <c r="E8" s="55">
        <v>1050.0</v>
      </c>
      <c r="F8" s="116">
        <v>3277.0</v>
      </c>
    </row>
    <row r="9">
      <c r="A9" s="117">
        <v>100043.0</v>
      </c>
      <c r="B9" s="51">
        <v>1100.0</v>
      </c>
      <c r="C9" s="118">
        <v>3803.0</v>
      </c>
      <c r="D9" s="115">
        <v>100043.0</v>
      </c>
      <c r="E9" s="55">
        <v>1100.0</v>
      </c>
      <c r="F9" s="116">
        <v>3167.0</v>
      </c>
    </row>
    <row r="10">
      <c r="A10" s="117">
        <v>100043.0</v>
      </c>
      <c r="B10" s="51">
        <v>1150.0</v>
      </c>
      <c r="C10" s="118">
        <v>3714.0</v>
      </c>
      <c r="D10" s="115">
        <v>100043.0</v>
      </c>
      <c r="E10" s="55">
        <v>1150.0</v>
      </c>
      <c r="F10" s="116">
        <v>3445.0</v>
      </c>
    </row>
    <row r="11">
      <c r="A11" s="117">
        <v>100043.0</v>
      </c>
      <c r="B11" s="51">
        <v>1200.0</v>
      </c>
      <c r="C11" s="118">
        <v>3952.0</v>
      </c>
      <c r="D11" s="115">
        <v>100043.0</v>
      </c>
      <c r="E11" s="55">
        <v>1200.0</v>
      </c>
      <c r="F11" s="116">
        <v>3694.0</v>
      </c>
    </row>
    <row r="12">
      <c r="A12" s="117">
        <v>100043.0</v>
      </c>
      <c r="B12" s="51">
        <v>1250.0</v>
      </c>
      <c r="C12" s="118">
        <v>4240.0</v>
      </c>
      <c r="D12" s="115">
        <v>100043.0</v>
      </c>
      <c r="E12" s="55">
        <v>1250.0</v>
      </c>
      <c r="F12" s="116">
        <v>3952.0</v>
      </c>
    </row>
    <row r="13">
      <c r="A13" s="119">
        <v>100043.0</v>
      </c>
      <c r="B13" s="120">
        <v>1300.0</v>
      </c>
      <c r="C13" s="121">
        <v>4508.0</v>
      </c>
      <c r="D13" s="122">
        <v>100043.0</v>
      </c>
      <c r="E13" s="123">
        <v>1300.0</v>
      </c>
      <c r="F13" s="124">
        <v>3793.0</v>
      </c>
    </row>
    <row r="14">
      <c r="A14" s="125">
        <v>200029.0</v>
      </c>
      <c r="B14" s="113">
        <v>800.0</v>
      </c>
      <c r="C14" s="114">
        <v>3485.0</v>
      </c>
      <c r="D14" s="126">
        <v>200029.0</v>
      </c>
      <c r="E14" s="127">
        <v>800.0</v>
      </c>
      <c r="F14" s="128">
        <v>3962.0</v>
      </c>
    </row>
    <row r="15">
      <c r="A15" s="129">
        <v>200029.0</v>
      </c>
      <c r="B15" s="51">
        <v>850.0</v>
      </c>
      <c r="C15" s="118">
        <v>3753.0</v>
      </c>
      <c r="D15" s="130">
        <v>200029.0</v>
      </c>
      <c r="E15" s="55">
        <v>850.0</v>
      </c>
      <c r="F15" s="116">
        <v>3813.0</v>
      </c>
    </row>
    <row r="16">
      <c r="A16" s="129">
        <v>200029.0</v>
      </c>
      <c r="B16" s="51">
        <v>900.0</v>
      </c>
      <c r="C16" s="118">
        <v>3634.0</v>
      </c>
      <c r="D16" s="130">
        <v>200029.0</v>
      </c>
      <c r="E16" s="55">
        <v>900.0</v>
      </c>
      <c r="F16" s="116">
        <v>3644.0</v>
      </c>
    </row>
    <row r="17">
      <c r="A17" s="129">
        <v>200029.0</v>
      </c>
      <c r="B17" s="51">
        <v>950.0</v>
      </c>
      <c r="C17" s="118">
        <v>3853.0</v>
      </c>
      <c r="D17" s="130">
        <v>200029.0</v>
      </c>
      <c r="E17" s="55">
        <v>950.0</v>
      </c>
      <c r="F17" s="116">
        <v>3833.0</v>
      </c>
    </row>
    <row r="18">
      <c r="A18" s="129">
        <v>200029.0</v>
      </c>
      <c r="B18" s="51">
        <v>1000.0</v>
      </c>
      <c r="C18" s="118">
        <v>4150.0</v>
      </c>
      <c r="D18" s="130">
        <v>200029.0</v>
      </c>
      <c r="E18" s="55">
        <v>1000.0</v>
      </c>
      <c r="F18" s="116">
        <v>4548.0</v>
      </c>
    </row>
    <row r="19">
      <c r="A19" s="129">
        <v>200029.0</v>
      </c>
      <c r="B19" s="51">
        <v>1050.0</v>
      </c>
      <c r="C19" s="118">
        <v>4011.0</v>
      </c>
      <c r="D19" s="130">
        <v>200029.0</v>
      </c>
      <c r="E19" s="55">
        <v>1050.0</v>
      </c>
      <c r="F19" s="116">
        <v>4468.0</v>
      </c>
    </row>
    <row r="20">
      <c r="A20" s="129">
        <v>200029.0</v>
      </c>
      <c r="B20" s="51">
        <v>1100.0</v>
      </c>
      <c r="C20" s="118">
        <v>4290.0</v>
      </c>
      <c r="D20" s="130">
        <v>200029.0</v>
      </c>
      <c r="E20" s="55">
        <v>1100.0</v>
      </c>
      <c r="F20" s="116">
        <v>4349.0</v>
      </c>
    </row>
    <row r="21">
      <c r="A21" s="129">
        <v>200029.0</v>
      </c>
      <c r="B21" s="51">
        <v>1150.0</v>
      </c>
      <c r="C21" s="118">
        <v>4150.0</v>
      </c>
      <c r="D21" s="130">
        <v>200029.0</v>
      </c>
      <c r="E21" s="55">
        <v>1150.0</v>
      </c>
      <c r="F21" s="116">
        <v>4518.0</v>
      </c>
    </row>
    <row r="22">
      <c r="A22" s="129">
        <v>200029.0</v>
      </c>
      <c r="B22" s="51">
        <v>1200.0</v>
      </c>
      <c r="C22" s="118">
        <v>4041.0</v>
      </c>
      <c r="D22" s="130">
        <v>200029.0</v>
      </c>
      <c r="E22" s="55">
        <v>1200.0</v>
      </c>
      <c r="F22" s="116">
        <v>4419.0</v>
      </c>
    </row>
    <row r="23">
      <c r="A23" s="129">
        <v>200029.0</v>
      </c>
      <c r="B23" s="51">
        <v>1250.0</v>
      </c>
      <c r="C23" s="118">
        <v>4270.0</v>
      </c>
      <c r="D23" s="130">
        <v>200029.0</v>
      </c>
      <c r="E23" s="55">
        <v>1250.0</v>
      </c>
      <c r="F23" s="116">
        <v>4339.0</v>
      </c>
    </row>
    <row r="24">
      <c r="A24" s="131">
        <v>200029.0</v>
      </c>
      <c r="B24" s="120">
        <v>1300.0</v>
      </c>
      <c r="C24" s="121">
        <v>4150.0</v>
      </c>
      <c r="D24" s="132">
        <v>200029.0</v>
      </c>
      <c r="E24" s="123">
        <v>1300.0</v>
      </c>
      <c r="F24" s="124">
        <v>4200.0</v>
      </c>
    </row>
    <row r="25">
      <c r="A25" s="133">
        <v>300073.0</v>
      </c>
      <c r="B25" s="113">
        <v>800.0</v>
      </c>
      <c r="C25" s="114">
        <v>3138.0</v>
      </c>
      <c r="D25" s="126">
        <v>300073.0</v>
      </c>
      <c r="E25" s="127">
        <v>800.0</v>
      </c>
      <c r="F25" s="128">
        <v>4299.0</v>
      </c>
    </row>
    <row r="26">
      <c r="A26" s="129">
        <v>300073.0</v>
      </c>
      <c r="B26" s="51">
        <v>850.0</v>
      </c>
      <c r="C26" s="118">
        <v>3783.0</v>
      </c>
      <c r="D26" s="130">
        <v>300073.0</v>
      </c>
      <c r="E26" s="55">
        <v>850.0</v>
      </c>
      <c r="F26" s="116">
        <v>4548.0</v>
      </c>
    </row>
    <row r="27">
      <c r="A27" s="129">
        <v>300073.0</v>
      </c>
      <c r="B27" s="51">
        <v>900.0</v>
      </c>
      <c r="C27" s="118">
        <v>3614.0</v>
      </c>
      <c r="D27" s="130">
        <v>300073.0</v>
      </c>
      <c r="E27" s="55">
        <v>900.0</v>
      </c>
      <c r="F27" s="116">
        <v>4389.0</v>
      </c>
    </row>
    <row r="28">
      <c r="A28" s="129">
        <v>300073.0</v>
      </c>
      <c r="B28" s="51">
        <v>950.0</v>
      </c>
      <c r="C28" s="118">
        <v>3823.0</v>
      </c>
      <c r="D28" s="130">
        <v>300073.0</v>
      </c>
      <c r="E28" s="55">
        <v>950.0</v>
      </c>
      <c r="F28" s="116">
        <v>4280.0</v>
      </c>
    </row>
    <row r="29">
      <c r="A29" s="129">
        <v>300073.0</v>
      </c>
      <c r="B29" s="51">
        <v>1000.0</v>
      </c>
      <c r="C29" s="118">
        <v>3714.0</v>
      </c>
      <c r="D29" s="130">
        <v>300073.0</v>
      </c>
      <c r="E29" s="55">
        <v>1000.0</v>
      </c>
      <c r="F29" s="116">
        <v>4141.0</v>
      </c>
    </row>
    <row r="30">
      <c r="A30" s="129">
        <v>300073.0</v>
      </c>
      <c r="B30" s="51">
        <v>1050.0</v>
      </c>
      <c r="C30" s="118">
        <v>4369.0</v>
      </c>
      <c r="D30" s="130">
        <v>300073.0</v>
      </c>
      <c r="E30" s="55">
        <v>1050.0</v>
      </c>
      <c r="F30" s="116">
        <v>3992.0</v>
      </c>
    </row>
    <row r="31">
      <c r="A31" s="129">
        <v>300073.0</v>
      </c>
      <c r="B31" s="51">
        <v>1100.0</v>
      </c>
      <c r="C31" s="118">
        <v>4240.0</v>
      </c>
      <c r="D31" s="130">
        <v>300073.0</v>
      </c>
      <c r="E31" s="55">
        <v>1100.0</v>
      </c>
      <c r="F31" s="116">
        <v>4607.0</v>
      </c>
    </row>
    <row r="32">
      <c r="A32" s="129">
        <v>300073.0</v>
      </c>
      <c r="B32" s="51">
        <v>1150.0</v>
      </c>
      <c r="C32" s="118">
        <v>4081.0</v>
      </c>
      <c r="D32" s="130">
        <v>300073.0</v>
      </c>
      <c r="E32" s="55">
        <v>1150.0</v>
      </c>
      <c r="F32" s="116">
        <v>4468.0</v>
      </c>
    </row>
    <row r="33">
      <c r="A33" s="129">
        <v>300073.0</v>
      </c>
      <c r="B33" s="51">
        <v>1200.0</v>
      </c>
      <c r="C33" s="118">
        <v>4349.0</v>
      </c>
      <c r="D33" s="130">
        <v>300073.0</v>
      </c>
      <c r="E33" s="55">
        <v>1200.0</v>
      </c>
      <c r="F33" s="116">
        <v>4369.0</v>
      </c>
    </row>
    <row r="34">
      <c r="A34" s="129">
        <v>300073.0</v>
      </c>
      <c r="B34" s="51">
        <v>1250.0</v>
      </c>
      <c r="C34" s="118">
        <v>4617.0</v>
      </c>
      <c r="D34" s="130">
        <v>300073.0</v>
      </c>
      <c r="E34" s="55">
        <v>1250.0</v>
      </c>
      <c r="F34" s="116">
        <v>4200.0</v>
      </c>
    </row>
    <row r="35">
      <c r="A35" s="131">
        <v>300073.0</v>
      </c>
      <c r="B35" s="120">
        <v>1300.0</v>
      </c>
      <c r="C35" s="121">
        <v>4448.0</v>
      </c>
      <c r="D35" s="132">
        <v>300073.0</v>
      </c>
      <c r="E35" s="123">
        <v>1300.0</v>
      </c>
      <c r="F35" s="124">
        <v>4121.0</v>
      </c>
    </row>
    <row r="36">
      <c r="A36" s="133">
        <v>400009.0</v>
      </c>
      <c r="B36" s="113">
        <v>800.0</v>
      </c>
      <c r="C36" s="114">
        <v>4299.0</v>
      </c>
      <c r="D36" s="134">
        <v>400009.0</v>
      </c>
      <c r="E36" s="127">
        <v>800.0</v>
      </c>
      <c r="F36" s="128">
        <v>4002.0</v>
      </c>
    </row>
    <row r="37">
      <c r="A37" s="129">
        <v>400009.0</v>
      </c>
      <c r="B37" s="51">
        <v>850.0</v>
      </c>
      <c r="C37" s="118">
        <v>4170.0</v>
      </c>
      <c r="D37" s="130">
        <v>400009.0</v>
      </c>
      <c r="E37" s="55">
        <v>850.0</v>
      </c>
      <c r="F37" s="116">
        <v>3872.0</v>
      </c>
    </row>
    <row r="38">
      <c r="A38" s="129">
        <v>400009.0</v>
      </c>
      <c r="B38" s="51">
        <v>900.0</v>
      </c>
      <c r="C38" s="118">
        <v>4448.0</v>
      </c>
      <c r="D38" s="130">
        <v>400009.0</v>
      </c>
      <c r="E38" s="55">
        <v>900.0</v>
      </c>
      <c r="F38" s="116">
        <v>4150.0</v>
      </c>
    </row>
    <row r="39">
      <c r="A39" s="129">
        <v>400009.0</v>
      </c>
      <c r="B39" s="51">
        <v>950.0</v>
      </c>
      <c r="C39" s="118">
        <v>4319.0</v>
      </c>
      <c r="D39" s="130">
        <v>400009.0</v>
      </c>
      <c r="E39" s="55">
        <v>950.0</v>
      </c>
      <c r="F39" s="116">
        <v>4051.0</v>
      </c>
    </row>
    <row r="40">
      <c r="A40" s="129">
        <v>400009.0</v>
      </c>
      <c r="B40" s="51">
        <v>1000.0</v>
      </c>
      <c r="C40" s="118">
        <v>4160.0</v>
      </c>
      <c r="D40" s="130">
        <v>400009.0</v>
      </c>
      <c r="E40" s="55">
        <v>1000.0</v>
      </c>
      <c r="F40" s="116">
        <v>3813.0</v>
      </c>
    </row>
    <row r="41">
      <c r="A41" s="129">
        <v>400009.0</v>
      </c>
      <c r="B41" s="51">
        <v>1050.0</v>
      </c>
      <c r="C41" s="118">
        <v>4438.0</v>
      </c>
      <c r="D41" s="130">
        <v>400009.0</v>
      </c>
      <c r="E41" s="55">
        <v>1050.0</v>
      </c>
      <c r="F41" s="116">
        <v>3644.0</v>
      </c>
    </row>
    <row r="42">
      <c r="A42" s="129">
        <v>400009.0</v>
      </c>
      <c r="B42" s="51">
        <v>1100.0</v>
      </c>
      <c r="C42" s="118">
        <v>4319.0</v>
      </c>
      <c r="D42" s="130">
        <v>400009.0</v>
      </c>
      <c r="E42" s="55">
        <v>1100.0</v>
      </c>
      <c r="F42" s="116">
        <v>3525.0</v>
      </c>
    </row>
    <row r="43">
      <c r="A43" s="129">
        <v>400009.0</v>
      </c>
      <c r="B43" s="51">
        <v>1150.0</v>
      </c>
      <c r="C43" s="118">
        <v>4160.0</v>
      </c>
      <c r="D43" s="130">
        <v>400009.0</v>
      </c>
      <c r="E43" s="55">
        <v>1150.0</v>
      </c>
      <c r="F43" s="116">
        <v>3356.0</v>
      </c>
    </row>
    <row r="44">
      <c r="A44" s="129">
        <v>400009.0</v>
      </c>
      <c r="B44" s="51">
        <v>1200.0</v>
      </c>
      <c r="C44" s="118">
        <v>4359.0</v>
      </c>
      <c r="D44" s="130">
        <v>400009.0</v>
      </c>
      <c r="E44" s="55">
        <v>1200.0</v>
      </c>
      <c r="F44" s="116">
        <v>3962.0</v>
      </c>
    </row>
    <row r="45">
      <c r="A45" s="129">
        <v>400009.0</v>
      </c>
      <c r="B45" s="51">
        <v>1250.0</v>
      </c>
      <c r="C45" s="118">
        <v>4280.0</v>
      </c>
      <c r="D45" s="130">
        <v>400009.0</v>
      </c>
      <c r="E45" s="55">
        <v>1250.0</v>
      </c>
      <c r="F45" s="116">
        <v>3793.0</v>
      </c>
    </row>
    <row r="46">
      <c r="A46" s="131">
        <v>400009.0</v>
      </c>
      <c r="B46" s="120">
        <v>1300.0</v>
      </c>
      <c r="C46" s="121">
        <v>4101.0</v>
      </c>
      <c r="D46" s="132">
        <v>400009.0</v>
      </c>
      <c r="E46" s="123">
        <v>1300.0</v>
      </c>
      <c r="F46" s="124">
        <v>3664.0</v>
      </c>
    </row>
    <row r="47">
      <c r="A47" s="133">
        <v>500041.0</v>
      </c>
      <c r="B47" s="135">
        <v>800.0</v>
      </c>
      <c r="C47" s="136">
        <v>4468.0</v>
      </c>
      <c r="D47" s="134">
        <v>500041.0</v>
      </c>
      <c r="E47" s="127">
        <v>800.0</v>
      </c>
      <c r="F47" s="128">
        <v>3962.0</v>
      </c>
    </row>
    <row r="48">
      <c r="A48" s="137">
        <v>500041.0</v>
      </c>
      <c r="B48" s="69">
        <v>850.0</v>
      </c>
      <c r="C48" s="138">
        <v>4309.0</v>
      </c>
      <c r="D48" s="139">
        <v>500041.0</v>
      </c>
      <c r="E48" s="55">
        <v>850.0</v>
      </c>
      <c r="F48" s="116">
        <v>3783.0</v>
      </c>
    </row>
    <row r="49">
      <c r="A49" s="137">
        <v>500041.0</v>
      </c>
      <c r="B49" s="69">
        <v>900.0</v>
      </c>
      <c r="C49" s="138">
        <v>4548.0</v>
      </c>
      <c r="D49" s="139">
        <v>500041.0</v>
      </c>
      <c r="E49" s="55">
        <v>900.0</v>
      </c>
      <c r="F49" s="116">
        <v>4081.0</v>
      </c>
    </row>
    <row r="50">
      <c r="A50" s="137">
        <v>500041.0</v>
      </c>
      <c r="B50" s="51">
        <v>950.0</v>
      </c>
      <c r="C50" s="138">
        <v>4359.0</v>
      </c>
      <c r="D50" s="139">
        <v>500041.0</v>
      </c>
      <c r="E50" s="55">
        <v>950.0</v>
      </c>
      <c r="F50" s="116">
        <v>4726.0</v>
      </c>
    </row>
    <row r="51">
      <c r="A51" s="137">
        <v>500041.0</v>
      </c>
      <c r="B51" s="51">
        <v>1000.0</v>
      </c>
      <c r="C51" s="138">
        <v>4160.0</v>
      </c>
      <c r="D51" s="139">
        <v>500041.0</v>
      </c>
      <c r="E51" s="55">
        <v>1000.0</v>
      </c>
      <c r="F51" s="116">
        <v>4975.0</v>
      </c>
    </row>
    <row r="52">
      <c r="A52" s="137">
        <v>500041.0</v>
      </c>
      <c r="B52" s="51">
        <v>1050.0</v>
      </c>
      <c r="C52" s="138">
        <v>3992.0</v>
      </c>
      <c r="D52" s="139">
        <v>500041.0</v>
      </c>
      <c r="E52" s="55">
        <v>1050.0</v>
      </c>
      <c r="F52" s="116">
        <v>4816.0</v>
      </c>
    </row>
    <row r="53">
      <c r="A53" s="137">
        <v>500041.0</v>
      </c>
      <c r="B53" s="51">
        <v>1100.0</v>
      </c>
      <c r="C53" s="138">
        <v>3872.0</v>
      </c>
      <c r="D53" s="139">
        <v>500041.0</v>
      </c>
      <c r="E53" s="55">
        <v>1100.0</v>
      </c>
      <c r="F53" s="116">
        <v>4687.0</v>
      </c>
    </row>
    <row r="54">
      <c r="A54" s="137">
        <v>500041.0</v>
      </c>
      <c r="B54" s="51">
        <v>1150.0</v>
      </c>
      <c r="C54" s="138">
        <v>3773.0</v>
      </c>
      <c r="D54" s="139">
        <v>500041.0</v>
      </c>
      <c r="E54" s="55">
        <v>1150.0</v>
      </c>
      <c r="F54" s="116">
        <v>4578.0</v>
      </c>
    </row>
    <row r="55">
      <c r="A55" s="137">
        <v>500041.0</v>
      </c>
      <c r="B55" s="51">
        <v>1200.0</v>
      </c>
      <c r="C55" s="138">
        <v>3634.0</v>
      </c>
      <c r="D55" s="139">
        <v>500041.0</v>
      </c>
      <c r="E55" s="55">
        <v>1200.0</v>
      </c>
      <c r="F55" s="116">
        <v>4429.0</v>
      </c>
    </row>
    <row r="56">
      <c r="A56" s="137">
        <v>500041.0</v>
      </c>
      <c r="B56" s="51">
        <v>1250.0</v>
      </c>
      <c r="C56" s="138">
        <v>3843.0</v>
      </c>
      <c r="D56" s="139">
        <v>500041.0</v>
      </c>
      <c r="E56" s="55">
        <v>1250.0</v>
      </c>
      <c r="F56" s="116">
        <v>4299.0</v>
      </c>
    </row>
    <row r="57">
      <c r="A57" s="140">
        <v>500041.0</v>
      </c>
      <c r="B57" s="120">
        <v>1300.0</v>
      </c>
      <c r="C57" s="141">
        <v>3694.0</v>
      </c>
      <c r="D57" s="142">
        <v>500041.0</v>
      </c>
      <c r="E57" s="123">
        <v>1300.0</v>
      </c>
      <c r="F57" s="124">
        <v>4111.0</v>
      </c>
    </row>
    <row r="58">
      <c r="A58" s="133">
        <v>127607.0</v>
      </c>
      <c r="B58" s="113">
        <v>800.0</v>
      </c>
      <c r="C58" s="114">
        <v>3614.0</v>
      </c>
      <c r="D58" s="134">
        <v>127607.0</v>
      </c>
      <c r="E58" s="143">
        <v>800.0</v>
      </c>
      <c r="F58" s="144">
        <v>3654.0</v>
      </c>
    </row>
    <row r="59">
      <c r="A59" s="129">
        <v>127607.0</v>
      </c>
      <c r="B59" s="51">
        <v>850.0</v>
      </c>
      <c r="C59" s="118">
        <v>4260.0</v>
      </c>
      <c r="D59" s="139">
        <v>127607.0</v>
      </c>
      <c r="E59" s="55">
        <v>850.0</v>
      </c>
      <c r="F59" s="145">
        <v>3882.0</v>
      </c>
    </row>
    <row r="60">
      <c r="A60" s="129">
        <v>127607.0</v>
      </c>
      <c r="B60" s="51">
        <v>900.0</v>
      </c>
      <c r="C60" s="118">
        <v>4458.0</v>
      </c>
      <c r="D60" s="139">
        <v>127607.0</v>
      </c>
      <c r="E60" s="55">
        <v>900.0</v>
      </c>
      <c r="F60" s="145">
        <v>4190.0</v>
      </c>
    </row>
    <row r="61">
      <c r="A61" s="129">
        <v>127607.0</v>
      </c>
      <c r="B61" s="51">
        <v>950.0</v>
      </c>
      <c r="C61" s="118">
        <v>4309.0</v>
      </c>
      <c r="D61" s="139">
        <v>127607.0</v>
      </c>
      <c r="E61" s="55">
        <v>950.0</v>
      </c>
      <c r="F61" s="145">
        <v>4458.0</v>
      </c>
    </row>
    <row r="62">
      <c r="A62" s="129">
        <v>127607.0</v>
      </c>
      <c r="B62" s="51">
        <v>1000.0</v>
      </c>
      <c r="C62" s="118">
        <v>4578.0</v>
      </c>
      <c r="D62" s="139">
        <v>127607.0</v>
      </c>
      <c r="E62" s="55">
        <v>1000.0</v>
      </c>
      <c r="F62" s="145">
        <v>4250.0</v>
      </c>
    </row>
    <row r="63">
      <c r="A63" s="129">
        <v>127607.0</v>
      </c>
      <c r="B63" s="51">
        <v>1050.0</v>
      </c>
      <c r="C63" s="118">
        <v>4419.0</v>
      </c>
      <c r="D63" s="139">
        <v>127607.0</v>
      </c>
      <c r="E63" s="55">
        <v>1050.0</v>
      </c>
      <c r="F63" s="145">
        <v>4131.0</v>
      </c>
    </row>
    <row r="64">
      <c r="A64" s="129">
        <v>127607.0</v>
      </c>
      <c r="B64" s="51">
        <v>1100.0</v>
      </c>
      <c r="C64" s="118">
        <v>4667.0</v>
      </c>
      <c r="D64" s="139">
        <v>127607.0</v>
      </c>
      <c r="E64" s="55">
        <v>1100.0</v>
      </c>
      <c r="F64" s="145">
        <v>4002.0</v>
      </c>
    </row>
    <row r="65">
      <c r="A65" s="129">
        <v>127607.0</v>
      </c>
      <c r="B65" s="51">
        <v>1150.0</v>
      </c>
      <c r="C65" s="118">
        <v>4528.0</v>
      </c>
      <c r="D65" s="139">
        <v>127607.0</v>
      </c>
      <c r="E65" s="55">
        <v>1150.0</v>
      </c>
      <c r="F65" s="145">
        <v>4250.0</v>
      </c>
    </row>
    <row r="66">
      <c r="A66" s="129">
        <v>127607.0</v>
      </c>
      <c r="B66" s="51">
        <v>1200.0</v>
      </c>
      <c r="C66" s="118">
        <v>4399.0</v>
      </c>
      <c r="D66" s="139">
        <v>127607.0</v>
      </c>
      <c r="E66" s="55">
        <v>1200.0</v>
      </c>
      <c r="F66" s="145">
        <v>4081.0</v>
      </c>
    </row>
    <row r="67">
      <c r="A67" s="129">
        <v>127607.0</v>
      </c>
      <c r="B67" s="51">
        <v>1250.0</v>
      </c>
      <c r="C67" s="118">
        <v>4210.0</v>
      </c>
      <c r="D67" s="139">
        <v>127607.0</v>
      </c>
      <c r="E67" s="55">
        <v>1250.0</v>
      </c>
      <c r="F67" s="145">
        <v>4339.0</v>
      </c>
    </row>
    <row r="68">
      <c r="A68" s="131">
        <v>127607.0</v>
      </c>
      <c r="B68" s="120">
        <v>1300.0</v>
      </c>
      <c r="C68" s="121">
        <v>4041.0</v>
      </c>
      <c r="D68" s="142">
        <v>127607.0</v>
      </c>
      <c r="E68" s="146">
        <v>1300.0</v>
      </c>
      <c r="F68" s="147">
        <v>4160.0</v>
      </c>
    </row>
    <row r="69">
      <c r="A69" s="78"/>
      <c r="B69" s="78"/>
      <c r="C69" s="79"/>
      <c r="D69" s="91"/>
      <c r="E69" s="94"/>
      <c r="F69" s="45"/>
    </row>
    <row r="70">
      <c r="A70" s="24"/>
      <c r="B70" s="24"/>
      <c r="C70" s="62"/>
      <c r="E70" s="94"/>
      <c r="F70" s="45"/>
    </row>
    <row r="71">
      <c r="A71" s="24"/>
      <c r="B71" s="24"/>
      <c r="C71" s="62"/>
      <c r="E71" s="94"/>
      <c r="F71" s="45"/>
    </row>
    <row r="72">
      <c r="A72" s="24"/>
      <c r="B72" s="24"/>
      <c r="C72" s="62"/>
      <c r="D72" s="91"/>
      <c r="E72" s="94"/>
      <c r="F72" s="45"/>
    </row>
    <row r="73">
      <c r="A73" s="24"/>
      <c r="B73" s="24"/>
      <c r="C73" s="62"/>
      <c r="D73" s="91"/>
      <c r="E73" s="94"/>
      <c r="F73" s="45"/>
    </row>
    <row r="74">
      <c r="A74" s="24"/>
      <c r="B74" s="24"/>
      <c r="C74" s="62"/>
      <c r="D74" s="91"/>
      <c r="E74" s="94"/>
      <c r="F74" s="45"/>
    </row>
    <row r="75">
      <c r="A75" s="24"/>
      <c r="B75" s="24"/>
      <c r="C75" s="62"/>
      <c r="D75" s="91"/>
      <c r="E75" s="94"/>
      <c r="F75" s="45"/>
    </row>
    <row r="76">
      <c r="A76" s="24"/>
      <c r="B76" s="24"/>
      <c r="C76" s="62"/>
      <c r="D76" s="91"/>
      <c r="E76" s="94"/>
      <c r="F76" s="45"/>
    </row>
    <row r="77">
      <c r="A77" s="24"/>
      <c r="B77" s="24"/>
      <c r="C77" s="62"/>
      <c r="D77" s="91"/>
      <c r="E77" s="73"/>
      <c r="F77" s="90"/>
    </row>
    <row r="78">
      <c r="A78" s="24"/>
      <c r="B78" s="24"/>
      <c r="C78" s="62"/>
      <c r="D78" s="91"/>
      <c r="E78" s="73"/>
      <c r="F78" s="90"/>
    </row>
    <row r="79">
      <c r="A79" s="24"/>
      <c r="B79" s="24"/>
      <c r="C79" s="62"/>
      <c r="D79" s="91"/>
      <c r="E79" s="73"/>
      <c r="F79" s="90"/>
    </row>
    <row r="80">
      <c r="A80" s="24"/>
      <c r="B80" s="24"/>
      <c r="C80" s="62"/>
      <c r="D80" s="91"/>
      <c r="E80" s="100"/>
      <c r="F80" s="100"/>
    </row>
    <row r="81">
      <c r="A81" s="24"/>
      <c r="B81" s="24"/>
      <c r="C81" s="62"/>
      <c r="D81" s="91"/>
      <c r="E81" s="94"/>
      <c r="F81" s="45"/>
    </row>
    <row r="82">
      <c r="A82" s="24"/>
      <c r="B82" s="24"/>
      <c r="C82" s="62"/>
      <c r="D82" s="91"/>
      <c r="E82" s="94"/>
      <c r="F82" s="45"/>
    </row>
    <row r="83">
      <c r="A83" s="24"/>
      <c r="B83" s="24"/>
      <c r="C83" s="62"/>
      <c r="D83" s="91"/>
      <c r="E83" s="94"/>
      <c r="F83" s="45"/>
    </row>
    <row r="84">
      <c r="A84" s="24"/>
      <c r="B84" s="24"/>
      <c r="C84" s="62"/>
      <c r="D84" s="91"/>
      <c r="E84" s="94"/>
      <c r="F84" s="45"/>
    </row>
    <row r="85">
      <c r="A85" s="24"/>
      <c r="B85" s="24"/>
      <c r="C85" s="62"/>
      <c r="D85" s="91"/>
      <c r="E85" s="94"/>
      <c r="F85" s="45"/>
    </row>
    <row r="86">
      <c r="A86" s="24"/>
      <c r="B86" s="24"/>
      <c r="C86" s="62"/>
      <c r="D86" s="91"/>
      <c r="E86" s="94"/>
      <c r="F86" s="45"/>
    </row>
    <row r="87">
      <c r="A87" s="24"/>
      <c r="B87" s="24"/>
      <c r="C87" s="62"/>
      <c r="D87" s="91"/>
      <c r="E87" s="94"/>
      <c r="F87" s="45"/>
    </row>
    <row r="88">
      <c r="A88" s="24"/>
      <c r="B88" s="24"/>
      <c r="C88" s="62"/>
      <c r="D88" s="91"/>
      <c r="E88" s="94"/>
      <c r="F88" s="45"/>
    </row>
    <row r="89">
      <c r="A89" s="24"/>
      <c r="B89" s="24"/>
      <c r="C89" s="62"/>
      <c r="D89" s="91"/>
      <c r="E89" s="94"/>
      <c r="F89" s="45"/>
    </row>
    <row r="90">
      <c r="A90" s="24"/>
      <c r="B90" s="24"/>
      <c r="C90" s="62"/>
      <c r="D90" s="91"/>
      <c r="E90" s="94"/>
      <c r="F90" s="45"/>
    </row>
    <row r="91">
      <c r="A91" s="24"/>
      <c r="B91" s="24"/>
      <c r="C91" s="62"/>
      <c r="D91" s="91"/>
      <c r="E91" s="94"/>
      <c r="F91" s="45"/>
    </row>
    <row r="92">
      <c r="A92" s="24"/>
      <c r="B92" s="24"/>
      <c r="C92" s="62"/>
      <c r="D92" s="91"/>
      <c r="E92" s="73"/>
      <c r="F92" s="90"/>
    </row>
    <row r="93">
      <c r="A93" s="24"/>
      <c r="B93" s="24"/>
      <c r="C93" s="62"/>
      <c r="D93" s="91"/>
      <c r="E93" s="62"/>
      <c r="F93" s="62"/>
    </row>
    <row r="94">
      <c r="A94" s="24"/>
      <c r="B94" s="24"/>
      <c r="C94" s="62"/>
      <c r="D94" s="91"/>
      <c r="E94" s="73"/>
      <c r="F94" s="90"/>
    </row>
    <row r="95">
      <c r="A95" s="24"/>
      <c r="B95" s="24"/>
      <c r="C95" s="62"/>
      <c r="D95" s="91"/>
      <c r="E95" s="29"/>
      <c r="F95" s="27"/>
    </row>
    <row r="96">
      <c r="A96" s="24"/>
      <c r="B96" s="24"/>
      <c r="C96" s="62"/>
      <c r="D96" s="91"/>
      <c r="E96" s="94"/>
      <c r="F96" s="45"/>
    </row>
    <row r="97">
      <c r="A97" s="24"/>
      <c r="B97" s="24"/>
      <c r="C97" s="62"/>
      <c r="D97" s="91"/>
      <c r="E97" s="94"/>
      <c r="F97" s="45"/>
    </row>
    <row r="98">
      <c r="A98" s="24"/>
      <c r="B98" s="24"/>
      <c r="C98" s="62"/>
      <c r="D98" s="91"/>
      <c r="E98" s="94"/>
      <c r="F98" s="45"/>
    </row>
    <row r="99">
      <c r="A99" s="24"/>
      <c r="B99" s="24"/>
      <c r="C99" s="62"/>
      <c r="D99" s="91"/>
      <c r="E99" s="94"/>
      <c r="F99" s="45"/>
    </row>
    <row r="100">
      <c r="A100" s="24"/>
      <c r="B100" s="24"/>
      <c r="C100" s="62"/>
      <c r="D100" s="91"/>
      <c r="E100" s="94"/>
      <c r="F100" s="45"/>
    </row>
    <row r="101">
      <c r="A101" s="24"/>
      <c r="B101" s="24"/>
      <c r="C101" s="62"/>
      <c r="D101" s="91"/>
      <c r="E101" s="94"/>
      <c r="F101" s="45"/>
    </row>
    <row r="102">
      <c r="A102" s="24"/>
      <c r="B102" s="24"/>
      <c r="C102" s="62"/>
      <c r="D102" s="91"/>
      <c r="E102" s="94"/>
      <c r="F102" s="45"/>
    </row>
    <row r="103">
      <c r="A103" s="24"/>
      <c r="B103" s="24"/>
      <c r="C103" s="62"/>
      <c r="D103" s="91"/>
      <c r="E103" s="94"/>
      <c r="F103" s="45"/>
    </row>
    <row r="104">
      <c r="A104" s="24"/>
      <c r="B104" s="24"/>
      <c r="C104" s="62"/>
      <c r="D104" s="91"/>
      <c r="E104" s="94"/>
      <c r="F104" s="45"/>
    </row>
    <row r="105">
      <c r="A105" s="24"/>
      <c r="B105" s="24"/>
      <c r="C105" s="62"/>
      <c r="D105" s="91"/>
      <c r="E105" s="94"/>
      <c r="F105" s="45"/>
    </row>
    <row r="106">
      <c r="A106" s="24"/>
      <c r="B106" s="24"/>
      <c r="C106" s="62"/>
      <c r="D106" s="91"/>
      <c r="E106" s="92"/>
      <c r="F106" s="92"/>
    </row>
    <row r="107">
      <c r="A107" s="24"/>
      <c r="B107" s="24"/>
      <c r="C107" s="62"/>
      <c r="D107" s="91"/>
      <c r="E107" s="73"/>
      <c r="F107" s="90"/>
    </row>
    <row r="108">
      <c r="A108" s="24"/>
      <c r="B108" s="24"/>
      <c r="C108" s="62"/>
      <c r="D108" s="91"/>
      <c r="E108" s="73"/>
      <c r="F108" s="90"/>
    </row>
    <row r="109">
      <c r="A109" s="24"/>
      <c r="B109" s="24"/>
      <c r="C109" s="62"/>
      <c r="D109" s="91"/>
      <c r="E109" s="73"/>
      <c r="F109" s="90"/>
    </row>
    <row r="110">
      <c r="A110" s="24"/>
      <c r="B110" s="24"/>
      <c r="C110" s="62"/>
      <c r="D110" s="91"/>
      <c r="E110" s="29"/>
      <c r="F110" s="27"/>
    </row>
    <row r="111">
      <c r="A111" s="24"/>
      <c r="B111" s="24"/>
      <c r="C111" s="62"/>
      <c r="D111" s="91"/>
      <c r="E111" s="94"/>
      <c r="F111" s="45"/>
    </row>
    <row r="112">
      <c r="A112" s="24"/>
      <c r="B112" s="24"/>
      <c r="C112" s="62"/>
      <c r="D112" s="91"/>
      <c r="E112" s="94"/>
      <c r="F112" s="45"/>
    </row>
    <row r="113">
      <c r="A113" s="24"/>
      <c r="B113" s="24"/>
      <c r="C113" s="62"/>
      <c r="D113" s="91"/>
      <c r="E113" s="94"/>
      <c r="F113" s="45"/>
    </row>
    <row r="114">
      <c r="A114" s="24"/>
      <c r="B114" s="24"/>
      <c r="C114" s="62"/>
      <c r="D114" s="91"/>
      <c r="E114" s="94"/>
      <c r="F114" s="45"/>
    </row>
    <row r="115">
      <c r="A115" s="24"/>
      <c r="B115" s="24"/>
      <c r="C115" s="62"/>
      <c r="D115" s="91"/>
      <c r="E115" s="94"/>
      <c r="F115" s="45"/>
    </row>
    <row r="116">
      <c r="A116" s="24"/>
      <c r="B116" s="24"/>
      <c r="C116" s="62"/>
      <c r="D116" s="91"/>
      <c r="E116" s="94"/>
      <c r="F116" s="45"/>
    </row>
    <row r="117">
      <c r="A117" s="24"/>
      <c r="B117" s="24"/>
      <c r="C117" s="62"/>
      <c r="D117" s="91"/>
      <c r="E117" s="94"/>
      <c r="F117" s="45"/>
    </row>
    <row r="118">
      <c r="A118" s="24"/>
      <c r="B118" s="24"/>
      <c r="C118" s="62"/>
      <c r="D118" s="91"/>
      <c r="E118" s="94"/>
      <c r="F118" s="45"/>
    </row>
    <row r="119">
      <c r="A119" s="24"/>
      <c r="B119" s="24"/>
      <c r="C119" s="62"/>
      <c r="D119" s="91"/>
      <c r="E119" s="92"/>
      <c r="F119" s="92"/>
    </row>
    <row r="120">
      <c r="A120" s="24"/>
      <c r="B120" s="24"/>
      <c r="C120" s="62"/>
      <c r="D120" s="91"/>
      <c r="E120" s="45"/>
      <c r="F120" s="45"/>
    </row>
    <row r="121">
      <c r="A121" s="24"/>
      <c r="B121" s="24"/>
      <c r="C121" s="62"/>
      <c r="D121" s="91"/>
      <c r="E121" s="45"/>
      <c r="F121" s="45"/>
    </row>
    <row r="122">
      <c r="A122" s="24"/>
      <c r="B122" s="24"/>
      <c r="C122" s="62"/>
      <c r="D122" s="91"/>
      <c r="E122" s="94"/>
      <c r="F122" s="45"/>
    </row>
    <row r="123">
      <c r="A123" s="24"/>
      <c r="B123" s="24"/>
      <c r="C123" s="62"/>
      <c r="D123" s="91"/>
      <c r="E123" s="94"/>
      <c r="F123" s="45"/>
    </row>
    <row r="124">
      <c r="A124" s="24"/>
      <c r="B124" s="24"/>
      <c r="C124" s="62"/>
      <c r="D124" s="91"/>
      <c r="E124" s="94"/>
      <c r="F124" s="45"/>
    </row>
    <row r="125">
      <c r="A125" s="24"/>
      <c r="B125" s="24"/>
      <c r="C125" s="62"/>
      <c r="D125" s="91"/>
      <c r="E125" s="94"/>
      <c r="F125" s="45"/>
    </row>
    <row r="126">
      <c r="A126" s="24"/>
      <c r="B126" s="24"/>
      <c r="C126" s="62"/>
      <c r="D126" s="91"/>
      <c r="E126" s="94"/>
      <c r="F126" s="45"/>
    </row>
    <row r="127">
      <c r="A127" s="24"/>
      <c r="B127" s="24"/>
      <c r="C127" s="62"/>
      <c r="D127" s="91"/>
      <c r="E127" s="94"/>
      <c r="F127" s="45"/>
    </row>
    <row r="128">
      <c r="A128" s="24"/>
      <c r="B128" s="24"/>
      <c r="C128" s="62"/>
      <c r="D128" s="91"/>
      <c r="E128" s="94"/>
      <c r="F128" s="45"/>
    </row>
    <row r="129">
      <c r="A129" s="24"/>
      <c r="B129" s="24"/>
      <c r="C129" s="62"/>
      <c r="D129" s="91"/>
      <c r="E129" s="94"/>
      <c r="F129" s="45"/>
    </row>
    <row r="130">
      <c r="A130" s="24"/>
      <c r="B130" s="24"/>
      <c r="C130" s="62"/>
      <c r="D130" s="91"/>
      <c r="E130" s="94"/>
      <c r="F130" s="45"/>
    </row>
    <row r="131">
      <c r="A131" s="24"/>
      <c r="B131" s="24"/>
      <c r="C131" s="62"/>
      <c r="D131" s="91"/>
      <c r="E131" s="94"/>
      <c r="F131" s="45"/>
    </row>
    <row r="132">
      <c r="A132" s="24"/>
      <c r="B132" s="24"/>
      <c r="C132" s="62"/>
      <c r="D132" s="62"/>
      <c r="E132" s="62"/>
      <c r="F132" s="62"/>
    </row>
    <row r="133">
      <c r="A133" s="24"/>
      <c r="B133" s="24"/>
      <c r="C133" s="62"/>
      <c r="D133" s="62"/>
      <c r="E133" s="62"/>
      <c r="F133" s="62"/>
    </row>
    <row r="134">
      <c r="A134" s="24"/>
      <c r="B134" s="24"/>
      <c r="C134" s="62"/>
      <c r="D134" s="62"/>
      <c r="E134" s="62"/>
      <c r="F134" s="62"/>
    </row>
    <row r="135">
      <c r="A135" s="24"/>
      <c r="B135" s="24"/>
      <c r="C135" s="62"/>
      <c r="D135" s="62"/>
      <c r="E135" s="62"/>
      <c r="F135" s="62"/>
    </row>
    <row r="136">
      <c r="A136" s="24"/>
      <c r="B136" s="24"/>
      <c r="C136" s="62"/>
      <c r="D136" s="62"/>
      <c r="E136" s="62"/>
      <c r="F136" s="62"/>
    </row>
    <row r="137">
      <c r="A137" s="24"/>
      <c r="B137" s="24"/>
      <c r="C137" s="62"/>
      <c r="D137" s="62"/>
      <c r="E137" s="62"/>
      <c r="F137" s="62"/>
    </row>
    <row r="138">
      <c r="A138" s="24"/>
      <c r="B138" s="24"/>
      <c r="C138" s="62"/>
      <c r="D138" s="62"/>
      <c r="E138" s="62"/>
      <c r="F138" s="62"/>
    </row>
    <row r="139">
      <c r="A139" s="24"/>
      <c r="B139" s="24"/>
      <c r="C139" s="62"/>
      <c r="D139" s="62"/>
      <c r="E139" s="62"/>
      <c r="F139" s="62"/>
    </row>
    <row r="140">
      <c r="A140" s="24"/>
      <c r="B140" s="24"/>
      <c r="C140" s="62"/>
      <c r="D140" s="62"/>
      <c r="E140" s="62"/>
      <c r="F140" s="62"/>
    </row>
    <row r="141">
      <c r="A141" s="24"/>
      <c r="B141" s="24"/>
      <c r="C141" s="62"/>
      <c r="D141" s="62"/>
      <c r="E141" s="62"/>
      <c r="F141" s="62"/>
    </row>
    <row r="142">
      <c r="A142" s="24"/>
      <c r="B142" s="24"/>
      <c r="C142" s="62"/>
      <c r="D142" s="62"/>
      <c r="E142" s="62"/>
      <c r="F142" s="62"/>
    </row>
    <row r="143">
      <c r="A143" s="24"/>
      <c r="B143" s="24"/>
      <c r="C143" s="62"/>
      <c r="D143" s="62"/>
      <c r="E143" s="62"/>
      <c r="F143" s="62"/>
    </row>
    <row r="144">
      <c r="A144" s="24"/>
      <c r="B144" s="24"/>
      <c r="C144" s="62"/>
      <c r="D144" s="62"/>
      <c r="E144" s="62"/>
      <c r="F144" s="62"/>
    </row>
    <row r="145">
      <c r="A145" s="24"/>
      <c r="B145" s="24"/>
      <c r="C145" s="62"/>
      <c r="D145" s="62"/>
      <c r="E145" s="62"/>
      <c r="F145" s="62"/>
    </row>
    <row r="146">
      <c r="A146" s="24"/>
      <c r="B146" s="24"/>
      <c r="C146" s="62"/>
      <c r="D146" s="62"/>
      <c r="E146" s="62"/>
      <c r="F146" s="62"/>
    </row>
    <row r="147">
      <c r="A147" s="24"/>
      <c r="B147" s="24"/>
      <c r="C147" s="62"/>
      <c r="D147" s="62"/>
      <c r="E147" s="62"/>
      <c r="F147" s="62"/>
    </row>
    <row r="148">
      <c r="A148" s="24"/>
      <c r="B148" s="24"/>
      <c r="C148" s="62"/>
      <c r="D148" s="62"/>
      <c r="E148" s="62"/>
      <c r="F148" s="62"/>
    </row>
    <row r="149">
      <c r="A149" s="24"/>
      <c r="B149" s="24"/>
      <c r="C149" s="62"/>
      <c r="D149" s="62"/>
      <c r="E149" s="62"/>
      <c r="F149" s="62"/>
    </row>
    <row r="150">
      <c r="A150" s="24"/>
      <c r="B150" s="24"/>
      <c r="C150" s="62"/>
      <c r="D150" s="62"/>
      <c r="E150" s="62"/>
      <c r="F150" s="62"/>
    </row>
    <row r="151">
      <c r="A151" s="24"/>
      <c r="B151" s="24"/>
      <c r="C151" s="62"/>
      <c r="D151" s="62"/>
      <c r="E151" s="62"/>
      <c r="F151" s="62"/>
    </row>
    <row r="152">
      <c r="A152" s="24"/>
      <c r="B152" s="24"/>
      <c r="C152" s="62"/>
      <c r="D152" s="62"/>
      <c r="E152" s="62"/>
      <c r="F152" s="62"/>
    </row>
    <row r="153">
      <c r="A153" s="24"/>
      <c r="B153" s="24"/>
      <c r="C153" s="62"/>
      <c r="D153" s="62"/>
      <c r="E153" s="62"/>
      <c r="F153" s="62"/>
    </row>
    <row r="154">
      <c r="A154" s="24"/>
      <c r="B154" s="24"/>
      <c r="C154" s="62"/>
      <c r="D154" s="62"/>
      <c r="E154" s="62"/>
      <c r="F154" s="62"/>
    </row>
    <row r="155">
      <c r="A155" s="24"/>
      <c r="B155" s="24"/>
      <c r="C155" s="62"/>
      <c r="D155" s="62"/>
      <c r="E155" s="62"/>
      <c r="F155" s="62"/>
    </row>
    <row r="156">
      <c r="A156" s="24"/>
      <c r="B156" s="24"/>
      <c r="C156" s="62"/>
      <c r="D156" s="62"/>
      <c r="E156" s="62"/>
      <c r="F156" s="62"/>
    </row>
    <row r="157">
      <c r="A157" s="24"/>
      <c r="B157" s="24"/>
      <c r="C157" s="62"/>
      <c r="D157" s="62"/>
      <c r="E157" s="62"/>
      <c r="F157" s="62"/>
    </row>
    <row r="158">
      <c r="A158" s="24"/>
      <c r="B158" s="24"/>
      <c r="C158" s="62"/>
      <c r="D158" s="62"/>
      <c r="E158" s="62"/>
      <c r="F158" s="62"/>
    </row>
    <row r="159">
      <c r="A159" s="24"/>
      <c r="B159" s="24"/>
      <c r="C159" s="62"/>
      <c r="D159" s="62"/>
      <c r="E159" s="62"/>
      <c r="F159" s="62"/>
    </row>
    <row r="160">
      <c r="A160" s="24"/>
      <c r="B160" s="24"/>
      <c r="C160" s="62"/>
      <c r="D160" s="62"/>
      <c r="E160" s="62"/>
      <c r="F160" s="62"/>
    </row>
    <row r="161">
      <c r="A161" s="24"/>
      <c r="B161" s="24"/>
      <c r="C161" s="62"/>
      <c r="D161" s="62"/>
      <c r="E161" s="62"/>
      <c r="F161" s="62"/>
    </row>
    <row r="162">
      <c r="A162" s="24"/>
      <c r="B162" s="24"/>
      <c r="C162" s="62"/>
      <c r="D162" s="62"/>
      <c r="E162" s="62"/>
      <c r="F162" s="62"/>
    </row>
    <row r="163">
      <c r="A163" s="24"/>
      <c r="B163" s="24"/>
      <c r="C163" s="62"/>
      <c r="D163" s="62"/>
      <c r="E163" s="62"/>
      <c r="F163" s="62"/>
    </row>
    <row r="164">
      <c r="A164" s="24"/>
      <c r="B164" s="24"/>
      <c r="C164" s="62"/>
      <c r="D164" s="62"/>
      <c r="E164" s="62"/>
      <c r="F164" s="62"/>
    </row>
    <row r="165">
      <c r="A165" s="24"/>
      <c r="B165" s="24"/>
      <c r="C165" s="62"/>
      <c r="D165" s="62"/>
      <c r="E165" s="62"/>
      <c r="F165" s="62"/>
    </row>
    <row r="166">
      <c r="A166" s="24"/>
      <c r="B166" s="24"/>
      <c r="C166" s="62"/>
      <c r="D166" s="62"/>
      <c r="E166" s="62"/>
      <c r="F166" s="62"/>
    </row>
    <row r="167">
      <c r="A167" s="24"/>
      <c r="B167" s="24"/>
      <c r="C167" s="62"/>
      <c r="D167" s="62"/>
      <c r="E167" s="62"/>
      <c r="F167" s="62"/>
    </row>
    <row r="168">
      <c r="A168" s="24"/>
      <c r="B168" s="24"/>
      <c r="C168" s="62"/>
      <c r="D168" s="62"/>
      <c r="E168" s="62"/>
      <c r="F168" s="62"/>
    </row>
    <row r="169">
      <c r="A169" s="24"/>
      <c r="B169" s="24"/>
      <c r="C169" s="62"/>
      <c r="D169" s="62"/>
      <c r="E169" s="62"/>
      <c r="F169" s="62"/>
    </row>
    <row r="170">
      <c r="A170" s="24"/>
      <c r="B170" s="24"/>
      <c r="C170" s="62"/>
      <c r="D170" s="62"/>
      <c r="E170" s="62"/>
      <c r="F170" s="62"/>
    </row>
    <row r="171">
      <c r="A171" s="24"/>
      <c r="B171" s="24"/>
      <c r="C171" s="62"/>
      <c r="D171" s="62"/>
      <c r="E171" s="62"/>
      <c r="F171" s="62"/>
    </row>
    <row r="172">
      <c r="A172" s="24"/>
      <c r="B172" s="24"/>
      <c r="C172" s="62"/>
      <c r="D172" s="62"/>
      <c r="E172" s="62"/>
      <c r="F172" s="62"/>
    </row>
    <row r="173">
      <c r="A173" s="24"/>
      <c r="B173" s="24"/>
      <c r="C173" s="62"/>
      <c r="D173" s="62"/>
      <c r="E173" s="62"/>
      <c r="F173" s="62"/>
    </row>
    <row r="174">
      <c r="A174" s="24"/>
      <c r="B174" s="24"/>
      <c r="C174" s="62"/>
      <c r="D174" s="62"/>
      <c r="E174" s="62"/>
      <c r="F174" s="62"/>
    </row>
    <row r="175">
      <c r="A175" s="24"/>
      <c r="B175" s="24"/>
      <c r="C175" s="62"/>
      <c r="D175" s="62"/>
      <c r="E175" s="62"/>
      <c r="F175" s="62"/>
    </row>
    <row r="176">
      <c r="A176" s="24"/>
      <c r="B176" s="24"/>
      <c r="C176" s="62"/>
      <c r="D176" s="62"/>
      <c r="E176" s="62"/>
      <c r="F176" s="62"/>
    </row>
    <row r="177">
      <c r="A177" s="24"/>
      <c r="B177" s="24"/>
      <c r="C177" s="62"/>
      <c r="D177" s="62"/>
      <c r="E177" s="62"/>
      <c r="F177" s="62"/>
    </row>
    <row r="178">
      <c r="A178" s="24"/>
      <c r="B178" s="24"/>
      <c r="C178" s="62"/>
      <c r="D178" s="62"/>
      <c r="E178" s="62"/>
      <c r="F178" s="62"/>
    </row>
    <row r="179">
      <c r="A179" s="24"/>
      <c r="B179" s="24"/>
      <c r="C179" s="62"/>
      <c r="D179" s="62"/>
      <c r="E179" s="62"/>
      <c r="F179" s="62"/>
    </row>
    <row r="180">
      <c r="A180" s="24"/>
      <c r="B180" s="24"/>
      <c r="C180" s="62"/>
      <c r="D180" s="62"/>
      <c r="E180" s="62"/>
      <c r="F180" s="62"/>
    </row>
    <row r="181">
      <c r="A181" s="24"/>
      <c r="B181" s="24"/>
      <c r="C181" s="62"/>
      <c r="D181" s="62"/>
      <c r="E181" s="62"/>
      <c r="F181" s="62"/>
    </row>
    <row r="182">
      <c r="A182" s="24"/>
      <c r="B182" s="24"/>
      <c r="C182" s="62"/>
      <c r="D182" s="62"/>
      <c r="E182" s="62"/>
      <c r="F182" s="62"/>
    </row>
    <row r="183">
      <c r="A183" s="24"/>
      <c r="B183" s="24"/>
      <c r="C183" s="62"/>
      <c r="D183" s="62"/>
      <c r="E183" s="62"/>
      <c r="F183" s="62"/>
    </row>
    <row r="184">
      <c r="A184" s="24"/>
      <c r="B184" s="24"/>
      <c r="C184" s="62"/>
      <c r="D184" s="62"/>
      <c r="E184" s="62"/>
      <c r="F184" s="62"/>
    </row>
    <row r="185">
      <c r="A185" s="24"/>
      <c r="B185" s="24"/>
      <c r="C185" s="62"/>
      <c r="D185" s="62"/>
      <c r="E185" s="62"/>
      <c r="F185" s="62"/>
    </row>
    <row r="186">
      <c r="A186" s="24"/>
      <c r="B186" s="24"/>
      <c r="C186" s="62"/>
      <c r="D186" s="62"/>
      <c r="E186" s="62"/>
      <c r="F186" s="62"/>
    </row>
    <row r="187">
      <c r="A187" s="24"/>
      <c r="B187" s="24"/>
      <c r="C187" s="62"/>
      <c r="D187" s="62"/>
      <c r="E187" s="62"/>
      <c r="F187" s="62"/>
    </row>
    <row r="188">
      <c r="A188" s="24"/>
      <c r="B188" s="24"/>
      <c r="C188" s="62"/>
      <c r="D188" s="62"/>
      <c r="E188" s="62"/>
      <c r="F188" s="62"/>
    </row>
    <row r="189">
      <c r="A189" s="24"/>
      <c r="B189" s="24"/>
      <c r="C189" s="62"/>
      <c r="D189" s="62"/>
      <c r="E189" s="62"/>
      <c r="F189" s="62"/>
    </row>
    <row r="190">
      <c r="A190" s="24"/>
      <c r="B190" s="24"/>
      <c r="C190" s="62"/>
      <c r="D190" s="62"/>
      <c r="E190" s="62"/>
      <c r="F190" s="62"/>
    </row>
    <row r="191">
      <c r="A191" s="24"/>
      <c r="B191" s="24"/>
      <c r="C191" s="62"/>
      <c r="D191" s="62"/>
      <c r="E191" s="62"/>
      <c r="F191" s="62"/>
    </row>
    <row r="192">
      <c r="A192" s="24"/>
      <c r="B192" s="24"/>
      <c r="C192" s="62"/>
      <c r="D192" s="62"/>
      <c r="E192" s="62"/>
      <c r="F192" s="62"/>
    </row>
    <row r="193">
      <c r="A193" s="24"/>
      <c r="B193" s="24"/>
      <c r="C193" s="62"/>
      <c r="D193" s="62"/>
      <c r="E193" s="62"/>
      <c r="F193" s="62"/>
    </row>
    <row r="194">
      <c r="A194" s="24"/>
      <c r="B194" s="24"/>
      <c r="C194" s="62"/>
      <c r="D194" s="62"/>
      <c r="E194" s="62"/>
      <c r="F194" s="62"/>
    </row>
    <row r="195">
      <c r="A195" s="24"/>
      <c r="B195" s="24"/>
      <c r="C195" s="62"/>
      <c r="D195" s="62"/>
      <c r="E195" s="62"/>
      <c r="F195" s="62"/>
    </row>
    <row r="196">
      <c r="A196" s="24"/>
      <c r="B196" s="24"/>
      <c r="C196" s="62"/>
      <c r="D196" s="62"/>
      <c r="E196" s="62"/>
      <c r="F196" s="62"/>
    </row>
    <row r="197">
      <c r="A197" s="24"/>
      <c r="B197" s="24"/>
      <c r="C197" s="62"/>
      <c r="D197" s="62"/>
      <c r="E197" s="62"/>
      <c r="F197" s="62"/>
    </row>
    <row r="198">
      <c r="A198" s="24"/>
      <c r="B198" s="24"/>
      <c r="C198" s="62"/>
      <c r="D198" s="62"/>
      <c r="E198" s="62"/>
      <c r="F198" s="62"/>
    </row>
    <row r="199">
      <c r="A199" s="24"/>
      <c r="B199" s="24"/>
      <c r="C199" s="62"/>
      <c r="D199" s="62"/>
      <c r="E199" s="62"/>
      <c r="F199" s="62"/>
    </row>
    <row r="200">
      <c r="A200" s="24"/>
      <c r="B200" s="24"/>
      <c r="C200" s="62"/>
      <c r="D200" s="62"/>
      <c r="E200" s="62"/>
      <c r="F200" s="62"/>
    </row>
    <row r="201">
      <c r="A201" s="24"/>
      <c r="B201" s="24"/>
      <c r="C201" s="62"/>
      <c r="D201" s="62"/>
      <c r="E201" s="62"/>
      <c r="F201" s="62"/>
    </row>
    <row r="202">
      <c r="A202" s="24"/>
      <c r="B202" s="24"/>
      <c r="C202" s="62"/>
      <c r="D202" s="62"/>
      <c r="E202" s="62"/>
      <c r="F202" s="62"/>
    </row>
    <row r="203">
      <c r="A203" s="24"/>
      <c r="B203" s="24"/>
      <c r="C203" s="62"/>
      <c r="D203" s="62"/>
      <c r="E203" s="62"/>
      <c r="F203" s="62"/>
    </row>
    <row r="204">
      <c r="A204" s="24"/>
      <c r="B204" s="24"/>
      <c r="C204" s="62"/>
      <c r="D204" s="62"/>
      <c r="E204" s="62"/>
      <c r="F204" s="62"/>
    </row>
    <row r="205">
      <c r="A205" s="24"/>
      <c r="B205" s="24"/>
      <c r="C205" s="62"/>
      <c r="D205" s="62"/>
      <c r="E205" s="62"/>
      <c r="F205" s="62"/>
    </row>
    <row r="206">
      <c r="A206" s="24"/>
      <c r="B206" s="24"/>
      <c r="C206" s="62"/>
      <c r="D206" s="62"/>
      <c r="E206" s="62"/>
      <c r="F206" s="62"/>
    </row>
    <row r="207">
      <c r="A207" s="24"/>
      <c r="B207" s="24"/>
      <c r="C207" s="62"/>
      <c r="D207" s="62"/>
      <c r="E207" s="62"/>
      <c r="F207" s="62"/>
    </row>
    <row r="208">
      <c r="A208" s="24"/>
      <c r="B208" s="24"/>
      <c r="C208" s="62"/>
      <c r="D208" s="62"/>
      <c r="E208" s="62"/>
      <c r="F208" s="62"/>
    </row>
    <row r="209">
      <c r="A209" s="24"/>
      <c r="B209" s="24"/>
      <c r="C209" s="62"/>
      <c r="D209" s="62"/>
      <c r="E209" s="62"/>
      <c r="F209" s="62"/>
    </row>
    <row r="210">
      <c r="A210" s="24"/>
      <c r="B210" s="24"/>
      <c r="C210" s="62"/>
      <c r="D210" s="62"/>
      <c r="E210" s="62"/>
      <c r="F210" s="62"/>
    </row>
    <row r="211">
      <c r="A211" s="24"/>
      <c r="B211" s="24"/>
      <c r="C211" s="62"/>
      <c r="D211" s="62"/>
      <c r="E211" s="62"/>
      <c r="F211" s="62"/>
    </row>
    <row r="212">
      <c r="A212" s="24"/>
      <c r="B212" s="24"/>
      <c r="C212" s="62"/>
      <c r="D212" s="62"/>
      <c r="E212" s="62"/>
      <c r="F212" s="62"/>
    </row>
    <row r="213">
      <c r="A213" s="24"/>
      <c r="B213" s="24"/>
      <c r="C213" s="62"/>
      <c r="D213" s="62"/>
      <c r="E213" s="62"/>
      <c r="F213" s="62"/>
    </row>
    <row r="214">
      <c r="A214" s="24"/>
      <c r="B214" s="24"/>
      <c r="C214" s="62"/>
      <c r="D214" s="62"/>
      <c r="E214" s="62"/>
      <c r="F214" s="62"/>
    </row>
    <row r="215">
      <c r="A215" s="24"/>
      <c r="B215" s="24"/>
      <c r="C215" s="62"/>
      <c r="D215" s="62"/>
      <c r="E215" s="62"/>
      <c r="F215" s="62"/>
    </row>
    <row r="216">
      <c r="A216" s="24"/>
      <c r="B216" s="24"/>
      <c r="C216" s="62"/>
      <c r="D216" s="62"/>
      <c r="E216" s="62"/>
      <c r="F216" s="62"/>
    </row>
    <row r="217">
      <c r="A217" s="24"/>
      <c r="B217" s="24"/>
      <c r="C217" s="62"/>
      <c r="D217" s="62"/>
      <c r="E217" s="62"/>
      <c r="F217" s="62"/>
    </row>
    <row r="218">
      <c r="A218" s="24"/>
      <c r="B218" s="24"/>
      <c r="C218" s="62"/>
      <c r="D218" s="62"/>
      <c r="E218" s="62"/>
      <c r="F218" s="62"/>
    </row>
    <row r="219">
      <c r="A219" s="24"/>
      <c r="B219" s="24"/>
      <c r="C219" s="62"/>
      <c r="D219" s="62"/>
      <c r="E219" s="62"/>
      <c r="F219" s="62"/>
    </row>
    <row r="220">
      <c r="A220" s="24"/>
      <c r="B220" s="24"/>
      <c r="C220" s="62"/>
      <c r="D220" s="62"/>
      <c r="E220" s="62"/>
      <c r="F220" s="62"/>
    </row>
    <row r="221">
      <c r="A221" s="24"/>
      <c r="B221" s="24"/>
      <c r="C221" s="62"/>
      <c r="D221" s="62"/>
      <c r="E221" s="62"/>
      <c r="F221" s="62"/>
    </row>
    <row r="222">
      <c r="A222" s="24"/>
      <c r="B222" s="24"/>
      <c r="C222" s="62"/>
      <c r="D222" s="62"/>
      <c r="E222" s="62"/>
      <c r="F222" s="62"/>
    </row>
    <row r="223">
      <c r="A223" s="24"/>
      <c r="B223" s="24"/>
      <c r="C223" s="62"/>
      <c r="D223" s="62"/>
      <c r="E223" s="62"/>
      <c r="F223" s="62"/>
    </row>
    <row r="224">
      <c r="A224" s="24"/>
      <c r="B224" s="24"/>
      <c r="C224" s="62"/>
      <c r="D224" s="62"/>
      <c r="E224" s="62"/>
      <c r="F224" s="62"/>
    </row>
    <row r="225">
      <c r="A225" s="24"/>
      <c r="B225" s="24"/>
      <c r="C225" s="62"/>
      <c r="D225" s="62"/>
      <c r="E225" s="62"/>
      <c r="F225" s="62"/>
    </row>
    <row r="226">
      <c r="A226" s="24"/>
      <c r="B226" s="24"/>
      <c r="C226" s="62"/>
      <c r="D226" s="62"/>
      <c r="E226" s="62"/>
      <c r="F226" s="62"/>
    </row>
    <row r="227">
      <c r="A227" s="24"/>
      <c r="B227" s="24"/>
      <c r="C227" s="62"/>
      <c r="D227" s="62"/>
      <c r="E227" s="62"/>
      <c r="F227" s="62"/>
    </row>
    <row r="228">
      <c r="A228" s="24"/>
      <c r="B228" s="24"/>
      <c r="C228" s="62"/>
      <c r="D228" s="62"/>
      <c r="E228" s="62"/>
      <c r="F228" s="62"/>
    </row>
    <row r="229">
      <c r="A229" s="24"/>
      <c r="B229" s="24"/>
      <c r="C229" s="62"/>
      <c r="D229" s="62"/>
      <c r="E229" s="62"/>
      <c r="F229" s="62"/>
    </row>
    <row r="230">
      <c r="A230" s="24"/>
      <c r="B230" s="24"/>
      <c r="C230" s="62"/>
      <c r="D230" s="62"/>
      <c r="E230" s="62"/>
      <c r="F230" s="62"/>
    </row>
    <row r="231">
      <c r="A231" s="24"/>
      <c r="B231" s="24"/>
      <c r="C231" s="62"/>
      <c r="D231" s="62"/>
      <c r="E231" s="62"/>
      <c r="F231" s="62"/>
    </row>
    <row r="232">
      <c r="A232" s="24"/>
      <c r="B232" s="24"/>
      <c r="C232" s="62"/>
      <c r="D232" s="62"/>
      <c r="E232" s="62"/>
      <c r="F232" s="62"/>
    </row>
    <row r="233">
      <c r="A233" s="24"/>
      <c r="B233" s="24"/>
      <c r="C233" s="62"/>
      <c r="D233" s="62"/>
      <c r="E233" s="62"/>
      <c r="F233" s="62"/>
    </row>
    <row r="234">
      <c r="A234" s="24"/>
      <c r="B234" s="24"/>
      <c r="C234" s="62"/>
      <c r="D234" s="62"/>
      <c r="E234" s="62"/>
      <c r="F234" s="62"/>
    </row>
    <row r="235">
      <c r="A235" s="24"/>
      <c r="B235" s="24"/>
      <c r="C235" s="62"/>
      <c r="D235" s="62"/>
      <c r="E235" s="62"/>
      <c r="F235" s="62"/>
    </row>
    <row r="236">
      <c r="A236" s="24"/>
      <c r="B236" s="24"/>
      <c r="C236" s="62"/>
      <c r="D236" s="62"/>
      <c r="E236" s="62"/>
      <c r="F236" s="62"/>
    </row>
    <row r="237">
      <c r="A237" s="24"/>
      <c r="B237" s="24"/>
      <c r="C237" s="62"/>
      <c r="D237" s="62"/>
      <c r="E237" s="62"/>
      <c r="F237" s="62"/>
    </row>
    <row r="238">
      <c r="A238" s="24"/>
      <c r="B238" s="24"/>
      <c r="C238" s="62"/>
      <c r="D238" s="62"/>
      <c r="E238" s="62"/>
      <c r="F238" s="62"/>
    </row>
    <row r="239">
      <c r="A239" s="24"/>
      <c r="B239" s="24"/>
      <c r="C239" s="62"/>
      <c r="D239" s="62"/>
      <c r="E239" s="62"/>
      <c r="F239" s="62"/>
    </row>
    <row r="240">
      <c r="A240" s="24"/>
      <c r="B240" s="24"/>
      <c r="C240" s="62"/>
      <c r="D240" s="62"/>
      <c r="E240" s="62"/>
      <c r="F240" s="62"/>
    </row>
    <row r="241">
      <c r="A241" s="24"/>
      <c r="B241" s="24"/>
      <c r="C241" s="62"/>
      <c r="D241" s="62"/>
      <c r="E241" s="62"/>
      <c r="F241" s="62"/>
    </row>
    <row r="242">
      <c r="A242" s="24"/>
      <c r="B242" s="24"/>
      <c r="C242" s="62"/>
      <c r="D242" s="62"/>
      <c r="E242" s="62"/>
      <c r="F242" s="62"/>
    </row>
    <row r="243">
      <c r="A243" s="24"/>
      <c r="B243" s="24"/>
      <c r="C243" s="62"/>
      <c r="D243" s="62"/>
      <c r="E243" s="62"/>
      <c r="F243" s="62"/>
    </row>
    <row r="244">
      <c r="A244" s="24"/>
      <c r="B244" s="24"/>
      <c r="C244" s="62"/>
      <c r="D244" s="62"/>
      <c r="E244" s="62"/>
      <c r="F244" s="62"/>
    </row>
    <row r="245">
      <c r="A245" s="24"/>
      <c r="B245" s="24"/>
      <c r="C245" s="62"/>
      <c r="D245" s="62"/>
      <c r="E245" s="62"/>
      <c r="F245" s="62"/>
    </row>
    <row r="246">
      <c r="A246" s="24"/>
      <c r="B246" s="24"/>
      <c r="C246" s="62"/>
      <c r="D246" s="62"/>
      <c r="E246" s="62"/>
      <c r="F246" s="62"/>
    </row>
    <row r="247">
      <c r="A247" s="24"/>
      <c r="B247" s="24"/>
      <c r="C247" s="62"/>
      <c r="D247" s="62"/>
      <c r="E247" s="62"/>
      <c r="F247" s="62"/>
    </row>
    <row r="248">
      <c r="A248" s="24"/>
      <c r="B248" s="24"/>
      <c r="C248" s="62"/>
      <c r="D248" s="62"/>
      <c r="E248" s="62"/>
      <c r="F248" s="62"/>
    </row>
    <row r="249">
      <c r="A249" s="24"/>
      <c r="B249" s="24"/>
      <c r="C249" s="62"/>
      <c r="D249" s="62"/>
      <c r="E249" s="62"/>
      <c r="F249" s="62"/>
    </row>
    <row r="250">
      <c r="A250" s="24"/>
      <c r="B250" s="24"/>
      <c r="C250" s="62"/>
      <c r="D250" s="62"/>
      <c r="E250" s="62"/>
      <c r="F250" s="62"/>
    </row>
    <row r="251">
      <c r="A251" s="24"/>
      <c r="B251" s="24"/>
      <c r="C251" s="62"/>
      <c r="D251" s="62"/>
      <c r="E251" s="62"/>
      <c r="F251" s="62"/>
    </row>
    <row r="252">
      <c r="A252" s="24"/>
      <c r="B252" s="24"/>
      <c r="C252" s="62"/>
      <c r="D252" s="62"/>
      <c r="E252" s="62"/>
      <c r="F252" s="62"/>
    </row>
    <row r="253">
      <c r="A253" s="24"/>
      <c r="B253" s="24"/>
      <c r="C253" s="62"/>
      <c r="D253" s="62"/>
      <c r="E253" s="62"/>
      <c r="F253" s="62"/>
    </row>
    <row r="254">
      <c r="A254" s="24"/>
      <c r="B254" s="24"/>
      <c r="C254" s="62"/>
      <c r="D254" s="62"/>
      <c r="E254" s="62"/>
      <c r="F254" s="62"/>
    </row>
    <row r="255">
      <c r="A255" s="24"/>
      <c r="B255" s="24"/>
      <c r="C255" s="62"/>
      <c r="D255" s="62"/>
      <c r="E255" s="62"/>
      <c r="F255" s="62"/>
    </row>
    <row r="256">
      <c r="A256" s="24"/>
      <c r="B256" s="24"/>
      <c r="C256" s="62"/>
      <c r="D256" s="62"/>
      <c r="E256" s="62"/>
      <c r="F256" s="62"/>
    </row>
    <row r="257">
      <c r="A257" s="24"/>
      <c r="B257" s="24"/>
      <c r="C257" s="62"/>
      <c r="D257" s="62"/>
      <c r="E257" s="62"/>
      <c r="F257" s="62"/>
    </row>
    <row r="258">
      <c r="A258" s="24"/>
      <c r="B258" s="24"/>
      <c r="C258" s="62"/>
      <c r="D258" s="62"/>
      <c r="E258" s="62"/>
      <c r="F258" s="62"/>
    </row>
    <row r="259">
      <c r="A259" s="24"/>
      <c r="B259" s="24"/>
      <c r="C259" s="62"/>
      <c r="D259" s="62"/>
      <c r="E259" s="62"/>
      <c r="F259" s="62"/>
    </row>
    <row r="260">
      <c r="A260" s="24"/>
      <c r="B260" s="24"/>
      <c r="C260" s="62"/>
      <c r="D260" s="62"/>
      <c r="E260" s="62"/>
      <c r="F260" s="62"/>
    </row>
    <row r="261">
      <c r="A261" s="24"/>
      <c r="B261" s="24"/>
      <c r="C261" s="62"/>
      <c r="D261" s="62"/>
      <c r="E261" s="62"/>
      <c r="F261" s="62"/>
    </row>
    <row r="262">
      <c r="A262" s="24"/>
      <c r="B262" s="24"/>
      <c r="C262" s="62"/>
      <c r="D262" s="62"/>
      <c r="E262" s="62"/>
      <c r="F262" s="62"/>
    </row>
    <row r="263">
      <c r="A263" s="24"/>
      <c r="B263" s="24"/>
      <c r="C263" s="62"/>
      <c r="D263" s="62"/>
      <c r="E263" s="62"/>
      <c r="F263" s="62"/>
    </row>
    <row r="264">
      <c r="A264" s="24"/>
      <c r="B264" s="24"/>
      <c r="C264" s="62"/>
      <c r="D264" s="62"/>
      <c r="E264" s="62"/>
      <c r="F264" s="62"/>
    </row>
    <row r="265">
      <c r="A265" s="24"/>
      <c r="B265" s="24"/>
      <c r="C265" s="62"/>
      <c r="D265" s="62"/>
      <c r="E265" s="62"/>
      <c r="F265" s="62"/>
    </row>
    <row r="266">
      <c r="A266" s="24"/>
      <c r="B266" s="24"/>
      <c r="C266" s="62"/>
      <c r="D266" s="62"/>
      <c r="E266" s="62"/>
      <c r="F266" s="62"/>
    </row>
    <row r="267">
      <c r="A267" s="24"/>
      <c r="B267" s="24"/>
      <c r="C267" s="62"/>
      <c r="D267" s="62"/>
      <c r="E267" s="62"/>
      <c r="F267" s="62"/>
    </row>
    <row r="268">
      <c r="A268" s="24"/>
      <c r="B268" s="24"/>
      <c r="C268" s="62"/>
      <c r="D268" s="62"/>
      <c r="E268" s="62"/>
      <c r="F268" s="62"/>
    </row>
    <row r="269">
      <c r="A269" s="24"/>
      <c r="B269" s="24"/>
      <c r="C269" s="62"/>
      <c r="D269" s="62"/>
      <c r="E269" s="62"/>
      <c r="F269" s="62"/>
    </row>
    <row r="270">
      <c r="A270" s="24"/>
      <c r="B270" s="24"/>
      <c r="C270" s="62"/>
      <c r="D270" s="62"/>
      <c r="E270" s="62"/>
      <c r="F270" s="62"/>
    </row>
    <row r="271">
      <c r="A271" s="24"/>
      <c r="B271" s="24"/>
      <c r="C271" s="62"/>
      <c r="D271" s="62"/>
      <c r="E271" s="62"/>
      <c r="F271" s="62"/>
    </row>
    <row r="272">
      <c r="A272" s="24"/>
      <c r="B272" s="24"/>
      <c r="C272" s="62"/>
      <c r="D272" s="62"/>
      <c r="E272" s="62"/>
      <c r="F272" s="62"/>
    </row>
    <row r="273">
      <c r="A273" s="24"/>
      <c r="B273" s="24"/>
      <c r="C273" s="62"/>
      <c r="D273" s="62"/>
      <c r="E273" s="62"/>
      <c r="F273" s="62"/>
    </row>
    <row r="274">
      <c r="A274" s="24"/>
      <c r="B274" s="24"/>
      <c r="C274" s="62"/>
      <c r="D274" s="62"/>
      <c r="E274" s="62"/>
      <c r="F274" s="62"/>
    </row>
    <row r="275">
      <c r="A275" s="24"/>
      <c r="B275" s="24"/>
      <c r="C275" s="62"/>
      <c r="D275" s="62"/>
      <c r="E275" s="62"/>
      <c r="F275" s="62"/>
    </row>
    <row r="276">
      <c r="A276" s="24"/>
      <c r="B276" s="24"/>
      <c r="C276" s="62"/>
      <c r="D276" s="62"/>
      <c r="E276" s="62"/>
      <c r="F276" s="62"/>
    </row>
    <row r="277">
      <c r="A277" s="24"/>
      <c r="B277" s="24"/>
      <c r="C277" s="62"/>
      <c r="D277" s="62"/>
      <c r="E277" s="62"/>
      <c r="F277" s="62"/>
    </row>
    <row r="278">
      <c r="A278" s="24"/>
      <c r="B278" s="24"/>
      <c r="C278" s="62"/>
      <c r="D278" s="62"/>
      <c r="E278" s="62"/>
      <c r="F278" s="62"/>
    </row>
    <row r="279">
      <c r="A279" s="24"/>
      <c r="B279" s="24"/>
      <c r="C279" s="62"/>
      <c r="D279" s="62"/>
      <c r="E279" s="62"/>
      <c r="F279" s="62"/>
    </row>
    <row r="280">
      <c r="A280" s="24"/>
      <c r="B280" s="24"/>
      <c r="C280" s="62"/>
      <c r="D280" s="62"/>
      <c r="E280" s="62"/>
      <c r="F280" s="62"/>
    </row>
    <row r="281">
      <c r="A281" s="24"/>
      <c r="B281" s="24"/>
      <c r="C281" s="62"/>
      <c r="D281" s="62"/>
      <c r="E281" s="62"/>
      <c r="F281" s="62"/>
    </row>
    <row r="282">
      <c r="A282" s="24"/>
      <c r="B282" s="24"/>
      <c r="C282" s="62"/>
      <c r="D282" s="62"/>
      <c r="E282" s="62"/>
      <c r="F282" s="62"/>
    </row>
    <row r="283">
      <c r="A283" s="24"/>
      <c r="B283" s="24"/>
      <c r="C283" s="62"/>
      <c r="D283" s="62"/>
      <c r="E283" s="62"/>
      <c r="F283" s="62"/>
    </row>
    <row r="284">
      <c r="A284" s="24"/>
      <c r="B284" s="24"/>
      <c r="C284" s="62"/>
      <c r="D284" s="62"/>
      <c r="E284" s="62"/>
      <c r="F284" s="62"/>
    </row>
    <row r="285">
      <c r="A285" s="24"/>
      <c r="B285" s="24"/>
      <c r="C285" s="62"/>
      <c r="D285" s="62"/>
      <c r="E285" s="62"/>
      <c r="F285" s="62"/>
    </row>
    <row r="286">
      <c r="A286" s="24"/>
      <c r="B286" s="24"/>
      <c r="C286" s="62"/>
      <c r="D286" s="62"/>
      <c r="E286" s="62"/>
      <c r="F286" s="62"/>
    </row>
    <row r="287">
      <c r="A287" s="24"/>
      <c r="B287" s="24"/>
      <c r="C287" s="62"/>
      <c r="D287" s="62"/>
      <c r="E287" s="62"/>
      <c r="F287" s="62"/>
    </row>
    <row r="288">
      <c r="A288" s="24"/>
      <c r="B288" s="24"/>
      <c r="C288" s="62"/>
      <c r="D288" s="62"/>
      <c r="E288" s="62"/>
      <c r="F288" s="62"/>
    </row>
    <row r="289">
      <c r="A289" s="24"/>
      <c r="B289" s="24"/>
      <c r="C289" s="62"/>
      <c r="D289" s="62"/>
      <c r="E289" s="62"/>
      <c r="F289" s="62"/>
    </row>
    <row r="290">
      <c r="A290" s="24"/>
      <c r="B290" s="24"/>
      <c r="C290" s="62"/>
      <c r="D290" s="62"/>
      <c r="E290" s="62"/>
      <c r="F290" s="62"/>
    </row>
    <row r="291">
      <c r="A291" s="24"/>
      <c r="B291" s="24"/>
      <c r="C291" s="62"/>
      <c r="D291" s="62"/>
      <c r="E291" s="62"/>
      <c r="F291" s="62"/>
    </row>
    <row r="292">
      <c r="A292" s="24"/>
      <c r="B292" s="24"/>
      <c r="C292" s="62"/>
      <c r="D292" s="62"/>
      <c r="E292" s="62"/>
      <c r="F292" s="62"/>
    </row>
    <row r="293">
      <c r="A293" s="24"/>
      <c r="B293" s="24"/>
      <c r="C293" s="62"/>
      <c r="D293" s="62"/>
      <c r="E293" s="62"/>
      <c r="F293" s="62"/>
    </row>
    <row r="294">
      <c r="A294" s="24"/>
      <c r="B294" s="24"/>
      <c r="C294" s="62"/>
      <c r="D294" s="62"/>
      <c r="E294" s="62"/>
      <c r="F294" s="62"/>
    </row>
    <row r="295">
      <c r="A295" s="24"/>
      <c r="B295" s="24"/>
      <c r="C295" s="62"/>
      <c r="D295" s="62"/>
      <c r="E295" s="62"/>
      <c r="F295" s="62"/>
    </row>
    <row r="296">
      <c r="A296" s="24"/>
      <c r="B296" s="24"/>
      <c r="C296" s="62"/>
      <c r="D296" s="62"/>
      <c r="E296" s="62"/>
      <c r="F296" s="62"/>
    </row>
    <row r="297">
      <c r="A297" s="24"/>
      <c r="B297" s="24"/>
      <c r="C297" s="62"/>
      <c r="D297" s="62"/>
      <c r="E297" s="62"/>
      <c r="F297" s="62"/>
    </row>
    <row r="298">
      <c r="A298" s="24"/>
      <c r="B298" s="24"/>
      <c r="C298" s="62"/>
      <c r="D298" s="62"/>
      <c r="E298" s="62"/>
      <c r="F298" s="62"/>
    </row>
    <row r="299">
      <c r="A299" s="24"/>
      <c r="B299" s="24"/>
      <c r="C299" s="62"/>
      <c r="D299" s="62"/>
      <c r="E299" s="62"/>
      <c r="F299" s="62"/>
    </row>
    <row r="300">
      <c r="A300" s="24"/>
      <c r="B300" s="24"/>
      <c r="C300" s="62"/>
      <c r="D300" s="62"/>
      <c r="E300" s="62"/>
      <c r="F300" s="62"/>
    </row>
    <row r="301">
      <c r="A301" s="24"/>
      <c r="B301" s="24"/>
      <c r="C301" s="62"/>
      <c r="D301" s="62"/>
      <c r="E301" s="62"/>
      <c r="F301" s="62"/>
    </row>
    <row r="302">
      <c r="A302" s="24"/>
      <c r="B302" s="24"/>
      <c r="C302" s="62"/>
      <c r="D302" s="62"/>
      <c r="E302" s="62"/>
      <c r="F302" s="62"/>
    </row>
    <row r="303">
      <c r="A303" s="24"/>
      <c r="B303" s="24"/>
      <c r="C303" s="62"/>
      <c r="D303" s="62"/>
      <c r="E303" s="62"/>
      <c r="F303" s="62"/>
    </row>
    <row r="304">
      <c r="A304" s="24"/>
      <c r="B304" s="24"/>
      <c r="C304" s="62"/>
      <c r="D304" s="62"/>
      <c r="E304" s="62"/>
      <c r="F304" s="62"/>
    </row>
    <row r="305">
      <c r="A305" s="24"/>
      <c r="B305" s="24"/>
      <c r="C305" s="62"/>
      <c r="D305" s="62"/>
      <c r="E305" s="62"/>
      <c r="F305" s="62"/>
    </row>
    <row r="306">
      <c r="A306" s="24"/>
      <c r="B306" s="24"/>
      <c r="C306" s="62"/>
      <c r="D306" s="62"/>
      <c r="E306" s="62"/>
      <c r="F306" s="62"/>
    </row>
    <row r="307">
      <c r="A307" s="24"/>
      <c r="B307" s="24"/>
      <c r="C307" s="62"/>
      <c r="D307" s="62"/>
      <c r="E307" s="62"/>
      <c r="F307" s="62"/>
    </row>
    <row r="308">
      <c r="A308" s="24"/>
      <c r="B308" s="24"/>
      <c r="C308" s="62"/>
      <c r="D308" s="62"/>
      <c r="E308" s="62"/>
      <c r="F308" s="62"/>
    </row>
    <row r="309">
      <c r="A309" s="24"/>
      <c r="B309" s="24"/>
      <c r="C309" s="62"/>
      <c r="D309" s="62"/>
      <c r="E309" s="62"/>
      <c r="F309" s="62"/>
    </row>
    <row r="310">
      <c r="A310" s="24"/>
      <c r="B310" s="24"/>
      <c r="C310" s="62"/>
      <c r="D310" s="62"/>
      <c r="E310" s="62"/>
      <c r="F310" s="62"/>
    </row>
    <row r="311">
      <c r="A311" s="24"/>
      <c r="B311" s="24"/>
      <c r="C311" s="62"/>
      <c r="D311" s="62"/>
      <c r="E311" s="62"/>
      <c r="F311" s="62"/>
    </row>
    <row r="312">
      <c r="A312" s="24"/>
      <c r="B312" s="24"/>
      <c r="C312" s="62"/>
      <c r="D312" s="62"/>
      <c r="E312" s="62"/>
      <c r="F312" s="62"/>
    </row>
    <row r="313">
      <c r="A313" s="24"/>
      <c r="B313" s="24"/>
      <c r="C313" s="62"/>
      <c r="D313" s="62"/>
      <c r="E313" s="62"/>
      <c r="F313" s="62"/>
    </row>
    <row r="314">
      <c r="A314" s="24"/>
      <c r="B314" s="24"/>
      <c r="C314" s="62"/>
      <c r="D314" s="62"/>
      <c r="E314" s="62"/>
      <c r="F314" s="62"/>
    </row>
    <row r="315">
      <c r="A315" s="24"/>
      <c r="B315" s="24"/>
      <c r="C315" s="62"/>
      <c r="D315" s="62"/>
      <c r="E315" s="62"/>
      <c r="F315" s="62"/>
    </row>
    <row r="316">
      <c r="A316" s="24"/>
      <c r="B316" s="24"/>
      <c r="C316" s="62"/>
      <c r="D316" s="62"/>
      <c r="E316" s="62"/>
      <c r="F316" s="62"/>
    </row>
    <row r="317">
      <c r="A317" s="24"/>
      <c r="B317" s="24"/>
      <c r="C317" s="62"/>
      <c r="D317" s="62"/>
      <c r="E317" s="62"/>
      <c r="F317" s="62"/>
    </row>
    <row r="318">
      <c r="A318" s="24"/>
      <c r="B318" s="24"/>
      <c r="C318" s="62"/>
      <c r="D318" s="62"/>
      <c r="E318" s="62"/>
      <c r="F318" s="62"/>
    </row>
    <row r="319">
      <c r="A319" s="24"/>
      <c r="B319" s="24"/>
      <c r="C319" s="62"/>
      <c r="D319" s="62"/>
      <c r="E319" s="62"/>
      <c r="F319" s="62"/>
    </row>
    <row r="320">
      <c r="A320" s="24"/>
      <c r="B320" s="24"/>
      <c r="C320" s="62"/>
      <c r="D320" s="62"/>
      <c r="E320" s="62"/>
      <c r="F320" s="62"/>
    </row>
    <row r="321">
      <c r="A321" s="24"/>
      <c r="B321" s="24"/>
      <c r="C321" s="62"/>
      <c r="D321" s="62"/>
      <c r="E321" s="62"/>
      <c r="F321" s="62"/>
    </row>
    <row r="322">
      <c r="A322" s="24"/>
      <c r="B322" s="24"/>
      <c r="C322" s="62"/>
      <c r="D322" s="62"/>
      <c r="E322" s="62"/>
      <c r="F322" s="62"/>
    </row>
    <row r="323">
      <c r="A323" s="24"/>
      <c r="B323" s="24"/>
      <c r="C323" s="62"/>
      <c r="D323" s="62"/>
      <c r="E323" s="62"/>
      <c r="F323" s="62"/>
    </row>
    <row r="324">
      <c r="A324" s="24"/>
      <c r="B324" s="24"/>
      <c r="C324" s="62"/>
      <c r="D324" s="62"/>
      <c r="E324" s="62"/>
      <c r="F324" s="62"/>
    </row>
    <row r="325">
      <c r="A325" s="24"/>
      <c r="B325" s="24"/>
      <c r="C325" s="62"/>
      <c r="D325" s="62"/>
      <c r="E325" s="62"/>
      <c r="F325" s="62"/>
    </row>
    <row r="326">
      <c r="A326" s="24"/>
      <c r="B326" s="24"/>
      <c r="C326" s="62"/>
      <c r="D326" s="62"/>
      <c r="E326" s="62"/>
      <c r="F326" s="62"/>
    </row>
    <row r="327">
      <c r="A327" s="24"/>
      <c r="B327" s="24"/>
      <c r="C327" s="62"/>
      <c r="D327" s="62"/>
      <c r="E327" s="62"/>
      <c r="F327" s="62"/>
    </row>
    <row r="328">
      <c r="A328" s="24"/>
      <c r="B328" s="24"/>
      <c r="C328" s="62"/>
      <c r="D328" s="62"/>
      <c r="E328" s="62"/>
      <c r="F328" s="62"/>
    </row>
    <row r="329">
      <c r="A329" s="24"/>
      <c r="B329" s="24"/>
      <c r="C329" s="62"/>
      <c r="D329" s="62"/>
      <c r="E329" s="62"/>
      <c r="F329" s="62"/>
    </row>
    <row r="330">
      <c r="A330" s="24"/>
      <c r="B330" s="24"/>
      <c r="C330" s="62"/>
      <c r="D330" s="62"/>
      <c r="E330" s="62"/>
      <c r="F330" s="62"/>
    </row>
    <row r="331">
      <c r="A331" s="24"/>
      <c r="B331" s="24"/>
      <c r="C331" s="62"/>
      <c r="D331" s="62"/>
      <c r="E331" s="62"/>
      <c r="F331" s="62"/>
    </row>
    <row r="332">
      <c r="A332" s="24"/>
      <c r="B332" s="24"/>
      <c r="C332" s="62"/>
      <c r="D332" s="62"/>
      <c r="E332" s="62"/>
      <c r="F332" s="62"/>
    </row>
    <row r="333">
      <c r="A333" s="24"/>
      <c r="B333" s="24"/>
      <c r="C333" s="62"/>
      <c r="D333" s="62"/>
      <c r="E333" s="62"/>
      <c r="F333" s="62"/>
    </row>
    <row r="334">
      <c r="A334" s="24"/>
      <c r="B334" s="24"/>
      <c r="C334" s="62"/>
      <c r="D334" s="62"/>
      <c r="E334" s="62"/>
      <c r="F334" s="62"/>
    </row>
    <row r="335">
      <c r="A335" s="24"/>
      <c r="B335" s="24"/>
      <c r="C335" s="62"/>
      <c r="D335" s="62"/>
      <c r="E335" s="62"/>
      <c r="F335" s="62"/>
    </row>
    <row r="336">
      <c r="A336" s="24"/>
      <c r="B336" s="24"/>
      <c r="C336" s="62"/>
      <c r="D336" s="62"/>
      <c r="E336" s="62"/>
      <c r="F336" s="62"/>
    </row>
    <row r="337">
      <c r="A337" s="24"/>
      <c r="B337" s="24"/>
      <c r="C337" s="62"/>
      <c r="D337" s="62"/>
      <c r="E337" s="62"/>
      <c r="F337" s="62"/>
    </row>
    <row r="338">
      <c r="A338" s="24"/>
      <c r="B338" s="24"/>
      <c r="C338" s="62"/>
      <c r="D338" s="62"/>
      <c r="E338" s="62"/>
      <c r="F338" s="62"/>
    </row>
    <row r="339">
      <c r="A339" s="24"/>
      <c r="B339" s="24"/>
      <c r="C339" s="62"/>
      <c r="D339" s="62"/>
      <c r="E339" s="62"/>
      <c r="F339" s="62"/>
    </row>
    <row r="340">
      <c r="A340" s="24"/>
      <c r="B340" s="24"/>
      <c r="C340" s="62"/>
      <c r="D340" s="62"/>
      <c r="E340" s="62"/>
      <c r="F340" s="62"/>
    </row>
    <row r="341">
      <c r="A341" s="24"/>
      <c r="B341" s="24"/>
      <c r="C341" s="62"/>
      <c r="D341" s="62"/>
      <c r="E341" s="62"/>
      <c r="F341" s="62"/>
    </row>
    <row r="342">
      <c r="A342" s="24"/>
      <c r="B342" s="24"/>
      <c r="C342" s="62"/>
      <c r="D342" s="62"/>
      <c r="E342" s="62"/>
      <c r="F342" s="62"/>
    </row>
    <row r="343">
      <c r="A343" s="24"/>
      <c r="B343" s="24"/>
      <c r="C343" s="62"/>
      <c r="D343" s="62"/>
      <c r="E343" s="62"/>
      <c r="F343" s="62"/>
    </row>
    <row r="344">
      <c r="A344" s="24"/>
      <c r="B344" s="24"/>
      <c r="C344" s="62"/>
      <c r="D344" s="62"/>
      <c r="E344" s="62"/>
      <c r="F344" s="62"/>
    </row>
    <row r="345">
      <c r="A345" s="24"/>
      <c r="B345" s="24"/>
      <c r="C345" s="62"/>
      <c r="D345" s="62"/>
      <c r="E345" s="62"/>
      <c r="F345" s="62"/>
    </row>
    <row r="346">
      <c r="A346" s="24"/>
      <c r="B346" s="24"/>
      <c r="C346" s="62"/>
      <c r="D346" s="62"/>
      <c r="E346" s="62"/>
      <c r="F346" s="62"/>
    </row>
    <row r="347">
      <c r="A347" s="24"/>
      <c r="B347" s="24"/>
      <c r="C347" s="62"/>
      <c r="D347" s="62"/>
      <c r="E347" s="62"/>
      <c r="F347" s="62"/>
    </row>
    <row r="348">
      <c r="A348" s="24"/>
      <c r="B348" s="24"/>
      <c r="C348" s="62"/>
      <c r="D348" s="62"/>
      <c r="E348" s="62"/>
      <c r="F348" s="62"/>
    </row>
    <row r="349">
      <c r="A349" s="24"/>
      <c r="B349" s="24"/>
      <c r="C349" s="62"/>
      <c r="D349" s="62"/>
      <c r="E349" s="62"/>
      <c r="F349" s="62"/>
    </row>
    <row r="350">
      <c r="A350" s="24"/>
      <c r="B350" s="24"/>
      <c r="C350" s="62"/>
      <c r="D350" s="62"/>
      <c r="E350" s="62"/>
      <c r="F350" s="62"/>
    </row>
    <row r="351">
      <c r="A351" s="24"/>
      <c r="B351" s="24"/>
      <c r="C351" s="62"/>
      <c r="D351" s="62"/>
      <c r="E351" s="62"/>
      <c r="F351" s="62"/>
    </row>
    <row r="352">
      <c r="A352" s="24"/>
      <c r="B352" s="24"/>
      <c r="C352" s="62"/>
      <c r="D352" s="62"/>
      <c r="E352" s="62"/>
      <c r="F352" s="62"/>
    </row>
    <row r="353">
      <c r="A353" s="24"/>
      <c r="B353" s="24"/>
      <c r="C353" s="62"/>
      <c r="D353" s="62"/>
      <c r="E353" s="62"/>
      <c r="F353" s="62"/>
    </row>
    <row r="354">
      <c r="A354" s="24"/>
      <c r="B354" s="24"/>
      <c r="C354" s="62"/>
      <c r="D354" s="62"/>
      <c r="E354" s="62"/>
      <c r="F354" s="62"/>
    </row>
    <row r="355">
      <c r="A355" s="24"/>
      <c r="B355" s="24"/>
      <c r="C355" s="62"/>
      <c r="D355" s="62"/>
      <c r="E355" s="62"/>
      <c r="F355" s="62"/>
    </row>
    <row r="356">
      <c r="A356" s="24"/>
      <c r="B356" s="24"/>
      <c r="C356" s="62"/>
      <c r="D356" s="62"/>
      <c r="E356" s="62"/>
      <c r="F356" s="62"/>
    </row>
    <row r="357">
      <c r="A357" s="24"/>
      <c r="B357" s="24"/>
      <c r="C357" s="62"/>
      <c r="D357" s="62"/>
      <c r="E357" s="62"/>
      <c r="F357" s="62"/>
    </row>
    <row r="358">
      <c r="A358" s="24"/>
      <c r="B358" s="24"/>
      <c r="C358" s="62"/>
      <c r="D358" s="62"/>
      <c r="E358" s="62"/>
      <c r="F358" s="62"/>
    </row>
    <row r="359">
      <c r="A359" s="24"/>
      <c r="B359" s="24"/>
      <c r="C359" s="62"/>
      <c r="D359" s="62"/>
      <c r="E359" s="62"/>
      <c r="F359" s="62"/>
    </row>
    <row r="360">
      <c r="A360" s="24"/>
      <c r="B360" s="24"/>
      <c r="C360" s="62"/>
      <c r="D360" s="62"/>
      <c r="E360" s="62"/>
      <c r="F360" s="62"/>
    </row>
    <row r="361">
      <c r="A361" s="24"/>
      <c r="B361" s="24"/>
      <c r="C361" s="62"/>
      <c r="D361" s="62"/>
      <c r="E361" s="62"/>
      <c r="F361" s="62"/>
    </row>
    <row r="362">
      <c r="A362" s="24"/>
      <c r="B362" s="24"/>
      <c r="C362" s="62"/>
      <c r="D362" s="62"/>
      <c r="E362" s="62"/>
      <c r="F362" s="62"/>
    </row>
    <row r="363">
      <c r="A363" s="24"/>
      <c r="B363" s="24"/>
      <c r="C363" s="62"/>
      <c r="D363" s="62"/>
      <c r="E363" s="62"/>
      <c r="F363" s="62"/>
    </row>
    <row r="364">
      <c r="A364" s="24"/>
      <c r="B364" s="24"/>
      <c r="C364" s="62"/>
      <c r="D364" s="62"/>
      <c r="E364" s="62"/>
      <c r="F364" s="62"/>
    </row>
    <row r="365">
      <c r="A365" s="24"/>
      <c r="B365" s="24"/>
      <c r="C365" s="62"/>
      <c r="D365" s="62"/>
      <c r="E365" s="62"/>
      <c r="F365" s="62"/>
    </row>
    <row r="366">
      <c r="A366" s="24"/>
      <c r="B366" s="24"/>
      <c r="C366" s="62"/>
      <c r="D366" s="62"/>
      <c r="E366" s="62"/>
      <c r="F366" s="62"/>
    </row>
    <row r="367">
      <c r="A367" s="24"/>
      <c r="B367" s="24"/>
      <c r="C367" s="62"/>
      <c r="D367" s="62"/>
      <c r="E367" s="62"/>
      <c r="F367" s="62"/>
    </row>
    <row r="368">
      <c r="A368" s="24"/>
      <c r="B368" s="24"/>
      <c r="C368" s="62"/>
      <c r="D368" s="62"/>
      <c r="E368" s="62"/>
      <c r="F368" s="62"/>
    </row>
    <row r="369">
      <c r="A369" s="24"/>
      <c r="B369" s="24"/>
      <c r="C369" s="62"/>
      <c r="D369" s="62"/>
      <c r="E369" s="62"/>
      <c r="F369" s="62"/>
    </row>
    <row r="370">
      <c r="A370" s="24"/>
      <c r="B370" s="24"/>
      <c r="C370" s="62"/>
      <c r="D370" s="62"/>
      <c r="E370" s="62"/>
      <c r="F370" s="62"/>
    </row>
    <row r="371">
      <c r="A371" s="24"/>
      <c r="B371" s="24"/>
      <c r="C371" s="62"/>
      <c r="D371" s="62"/>
      <c r="E371" s="62"/>
      <c r="F371" s="62"/>
    </row>
    <row r="372">
      <c r="A372" s="24"/>
      <c r="B372" s="24"/>
      <c r="C372" s="62"/>
      <c r="D372" s="62"/>
      <c r="E372" s="62"/>
      <c r="F372" s="62"/>
    </row>
    <row r="373">
      <c r="A373" s="24"/>
      <c r="B373" s="24"/>
      <c r="C373" s="62"/>
      <c r="D373" s="62"/>
      <c r="E373" s="62"/>
      <c r="F373" s="62"/>
    </row>
    <row r="374">
      <c r="A374" s="24"/>
      <c r="B374" s="24"/>
      <c r="C374" s="62"/>
      <c r="D374" s="62"/>
      <c r="E374" s="62"/>
      <c r="F374" s="62"/>
    </row>
    <row r="375">
      <c r="A375" s="24"/>
      <c r="B375" s="24"/>
      <c r="C375" s="62"/>
      <c r="D375" s="62"/>
      <c r="E375" s="62"/>
      <c r="F375" s="62"/>
    </row>
    <row r="376">
      <c r="A376" s="24"/>
      <c r="B376" s="24"/>
      <c r="C376" s="62"/>
      <c r="D376" s="62"/>
      <c r="E376" s="62"/>
      <c r="F376" s="62"/>
    </row>
    <row r="377">
      <c r="A377" s="24"/>
      <c r="B377" s="24"/>
      <c r="C377" s="62"/>
      <c r="D377" s="62"/>
      <c r="E377" s="62"/>
      <c r="F377" s="62"/>
    </row>
    <row r="378">
      <c r="A378" s="24"/>
      <c r="B378" s="24"/>
      <c r="C378" s="62"/>
      <c r="D378" s="62"/>
      <c r="E378" s="62"/>
      <c r="F378" s="62"/>
    </row>
    <row r="379">
      <c r="A379" s="24"/>
      <c r="B379" s="24"/>
      <c r="C379" s="62"/>
      <c r="D379" s="62"/>
      <c r="E379" s="62"/>
      <c r="F379" s="62"/>
    </row>
    <row r="380">
      <c r="A380" s="24"/>
      <c r="B380" s="24"/>
      <c r="C380" s="62"/>
      <c r="D380" s="62"/>
      <c r="E380" s="62"/>
      <c r="F380" s="62"/>
    </row>
    <row r="381">
      <c r="A381" s="24"/>
      <c r="B381" s="24"/>
      <c r="C381" s="62"/>
      <c r="D381" s="62"/>
      <c r="E381" s="62"/>
      <c r="F381" s="62"/>
    </row>
    <row r="382">
      <c r="A382" s="24"/>
      <c r="B382" s="24"/>
      <c r="C382" s="62"/>
      <c r="D382" s="62"/>
      <c r="E382" s="62"/>
      <c r="F382" s="62"/>
    </row>
    <row r="383">
      <c r="A383" s="24"/>
      <c r="B383" s="24"/>
      <c r="C383" s="62"/>
      <c r="D383" s="62"/>
      <c r="E383" s="62"/>
      <c r="F383" s="62"/>
    </row>
    <row r="384">
      <c r="A384" s="24"/>
      <c r="B384" s="24"/>
      <c r="C384" s="62"/>
      <c r="D384" s="62"/>
      <c r="E384" s="62"/>
      <c r="F384" s="62"/>
    </row>
    <row r="385">
      <c r="A385" s="24"/>
      <c r="B385" s="24"/>
      <c r="C385" s="62"/>
      <c r="D385" s="62"/>
      <c r="E385" s="62"/>
      <c r="F385" s="62"/>
    </row>
    <row r="386">
      <c r="A386" s="24"/>
      <c r="B386" s="24"/>
      <c r="C386" s="62"/>
      <c r="D386" s="62"/>
      <c r="E386" s="62"/>
      <c r="F386" s="62"/>
    </row>
    <row r="387">
      <c r="A387" s="24"/>
      <c r="B387" s="24"/>
      <c r="C387" s="62"/>
      <c r="D387" s="62"/>
      <c r="E387" s="62"/>
      <c r="F387" s="62"/>
    </row>
    <row r="388">
      <c r="A388" s="24"/>
      <c r="B388" s="24"/>
      <c r="C388" s="62"/>
      <c r="D388" s="62"/>
      <c r="E388" s="62"/>
      <c r="F388" s="62"/>
    </row>
    <row r="389">
      <c r="A389" s="24"/>
      <c r="B389" s="24"/>
      <c r="C389" s="62"/>
      <c r="D389" s="62"/>
      <c r="E389" s="62"/>
      <c r="F389" s="62"/>
    </row>
    <row r="390">
      <c r="A390" s="24"/>
      <c r="B390" s="24"/>
      <c r="C390" s="62"/>
      <c r="D390" s="62"/>
      <c r="E390" s="62"/>
      <c r="F390" s="62"/>
    </row>
    <row r="391">
      <c r="A391" s="24"/>
      <c r="B391" s="24"/>
      <c r="C391" s="62"/>
      <c r="D391" s="62"/>
      <c r="E391" s="62"/>
      <c r="F391" s="62"/>
    </row>
    <row r="392">
      <c r="A392" s="24"/>
      <c r="B392" s="24"/>
      <c r="C392" s="62"/>
      <c r="D392" s="62"/>
      <c r="E392" s="62"/>
      <c r="F392" s="62"/>
    </row>
    <row r="393">
      <c r="A393" s="24"/>
      <c r="B393" s="24"/>
      <c r="C393" s="62"/>
      <c r="D393" s="62"/>
      <c r="E393" s="62"/>
      <c r="F393" s="62"/>
    </row>
    <row r="394">
      <c r="A394" s="24"/>
      <c r="B394" s="24"/>
      <c r="C394" s="62"/>
      <c r="D394" s="62"/>
      <c r="E394" s="62"/>
      <c r="F394" s="62"/>
    </row>
    <row r="395">
      <c r="A395" s="24"/>
      <c r="B395" s="24"/>
      <c r="C395" s="62"/>
      <c r="D395" s="62"/>
      <c r="E395" s="62"/>
      <c r="F395" s="62"/>
    </row>
    <row r="396">
      <c r="A396" s="24"/>
      <c r="B396" s="24"/>
      <c r="C396" s="62"/>
      <c r="D396" s="62"/>
      <c r="E396" s="62"/>
      <c r="F396" s="62"/>
    </row>
    <row r="397">
      <c r="A397" s="24"/>
      <c r="B397" s="24"/>
      <c r="C397" s="62"/>
      <c r="D397" s="62"/>
      <c r="E397" s="62"/>
      <c r="F397" s="62"/>
    </row>
    <row r="398">
      <c r="A398" s="24"/>
      <c r="B398" s="24"/>
      <c r="C398" s="62"/>
      <c r="D398" s="62"/>
      <c r="E398" s="62"/>
      <c r="F398" s="62"/>
    </row>
    <row r="399">
      <c r="A399" s="24"/>
      <c r="B399" s="24"/>
      <c r="C399" s="62"/>
      <c r="D399" s="62"/>
      <c r="E399" s="62"/>
      <c r="F399" s="62"/>
    </row>
    <row r="400">
      <c r="A400" s="24"/>
      <c r="B400" s="24"/>
      <c r="C400" s="62"/>
      <c r="D400" s="62"/>
      <c r="E400" s="62"/>
      <c r="F400" s="62"/>
    </row>
    <row r="401">
      <c r="A401" s="24"/>
      <c r="B401" s="24"/>
      <c r="C401" s="62"/>
      <c r="D401" s="62"/>
      <c r="E401" s="62"/>
      <c r="F401" s="62"/>
    </row>
    <row r="402">
      <c r="A402" s="24"/>
      <c r="B402" s="24"/>
      <c r="C402" s="62"/>
      <c r="D402" s="62"/>
      <c r="E402" s="62"/>
      <c r="F402" s="62"/>
    </row>
    <row r="403">
      <c r="A403" s="24"/>
      <c r="B403" s="24"/>
      <c r="C403" s="62"/>
      <c r="D403" s="62"/>
      <c r="E403" s="62"/>
      <c r="F403" s="62"/>
    </row>
    <row r="404">
      <c r="A404" s="24"/>
      <c r="B404" s="24"/>
      <c r="C404" s="62"/>
      <c r="D404" s="62"/>
      <c r="E404" s="62"/>
      <c r="F404" s="62"/>
    </row>
    <row r="405">
      <c r="A405" s="24"/>
      <c r="B405" s="24"/>
      <c r="C405" s="62"/>
      <c r="D405" s="62"/>
      <c r="E405" s="62"/>
      <c r="F405" s="62"/>
    </row>
    <row r="406">
      <c r="A406" s="24"/>
      <c r="B406" s="24"/>
      <c r="C406" s="62"/>
      <c r="D406" s="62"/>
      <c r="E406" s="62"/>
      <c r="F406" s="62"/>
    </row>
    <row r="407">
      <c r="A407" s="24"/>
      <c r="B407" s="24"/>
      <c r="C407" s="62"/>
      <c r="D407" s="62"/>
      <c r="E407" s="62"/>
      <c r="F407" s="62"/>
    </row>
    <row r="408">
      <c r="A408" s="24"/>
      <c r="B408" s="24"/>
      <c r="C408" s="62"/>
      <c r="D408" s="62"/>
      <c r="E408" s="62"/>
      <c r="F408" s="62"/>
    </row>
    <row r="409">
      <c r="A409" s="24"/>
      <c r="B409" s="24"/>
      <c r="C409" s="62"/>
      <c r="D409" s="62"/>
      <c r="E409" s="62"/>
      <c r="F409" s="62"/>
    </row>
    <row r="410">
      <c r="A410" s="24"/>
      <c r="B410" s="24"/>
      <c r="C410" s="62"/>
      <c r="D410" s="62"/>
      <c r="E410" s="62"/>
      <c r="F410" s="62"/>
    </row>
    <row r="411">
      <c r="A411" s="24"/>
      <c r="B411" s="24"/>
      <c r="C411" s="62"/>
      <c r="D411" s="62"/>
      <c r="E411" s="62"/>
      <c r="F411" s="62"/>
    </row>
    <row r="412">
      <c r="A412" s="24"/>
      <c r="B412" s="24"/>
      <c r="C412" s="62"/>
      <c r="D412" s="62"/>
      <c r="E412" s="62"/>
      <c r="F412" s="62"/>
    </row>
    <row r="413">
      <c r="A413" s="24"/>
      <c r="B413" s="24"/>
      <c r="C413" s="62"/>
      <c r="D413" s="62"/>
      <c r="E413" s="62"/>
      <c r="F413" s="62"/>
    </row>
    <row r="414">
      <c r="A414" s="24"/>
      <c r="B414" s="24"/>
      <c r="C414" s="62"/>
      <c r="D414" s="62"/>
      <c r="E414" s="62"/>
      <c r="F414" s="62"/>
    </row>
    <row r="415">
      <c r="A415" s="24"/>
      <c r="B415" s="24"/>
      <c r="C415" s="62"/>
      <c r="D415" s="62"/>
      <c r="E415" s="62"/>
      <c r="F415" s="62"/>
    </row>
    <row r="416">
      <c r="A416" s="24"/>
      <c r="B416" s="24"/>
      <c r="C416" s="62"/>
      <c r="D416" s="62"/>
      <c r="E416" s="62"/>
      <c r="F416" s="62"/>
    </row>
    <row r="417">
      <c r="A417" s="24"/>
      <c r="B417" s="24"/>
      <c r="C417" s="62"/>
      <c r="D417" s="62"/>
      <c r="E417" s="62"/>
      <c r="F417" s="62"/>
    </row>
    <row r="418">
      <c r="A418" s="24"/>
      <c r="B418" s="24"/>
      <c r="C418" s="62"/>
      <c r="D418" s="62"/>
      <c r="E418" s="62"/>
      <c r="F418" s="62"/>
    </row>
    <row r="419">
      <c r="A419" s="24"/>
      <c r="B419" s="24"/>
      <c r="C419" s="62"/>
      <c r="D419" s="62"/>
      <c r="E419" s="62"/>
      <c r="F419" s="62"/>
    </row>
    <row r="420">
      <c r="A420" s="24"/>
      <c r="B420" s="24"/>
      <c r="C420" s="62"/>
      <c r="D420" s="62"/>
      <c r="E420" s="62"/>
      <c r="F420" s="62"/>
    </row>
    <row r="421">
      <c r="A421" s="24"/>
      <c r="B421" s="24"/>
      <c r="C421" s="62"/>
      <c r="D421" s="62"/>
      <c r="E421" s="62"/>
      <c r="F421" s="62"/>
    </row>
    <row r="422">
      <c r="A422" s="24"/>
      <c r="B422" s="24"/>
      <c r="C422" s="62"/>
      <c r="D422" s="62"/>
      <c r="E422" s="62"/>
      <c r="F422" s="62"/>
    </row>
    <row r="423">
      <c r="A423" s="24"/>
      <c r="B423" s="24"/>
      <c r="C423" s="62"/>
      <c r="D423" s="62"/>
      <c r="E423" s="62"/>
      <c r="F423" s="62"/>
    </row>
    <row r="424">
      <c r="A424" s="24"/>
      <c r="B424" s="24"/>
      <c r="C424" s="62"/>
      <c r="D424" s="62"/>
      <c r="E424" s="62"/>
      <c r="F424" s="62"/>
    </row>
    <row r="425">
      <c r="A425" s="24"/>
      <c r="B425" s="24"/>
      <c r="C425" s="62"/>
      <c r="D425" s="62"/>
      <c r="E425" s="62"/>
      <c r="F425" s="62"/>
    </row>
    <row r="426">
      <c r="A426" s="24"/>
      <c r="B426" s="24"/>
      <c r="C426" s="62"/>
      <c r="D426" s="62"/>
      <c r="E426" s="62"/>
      <c r="F426" s="62"/>
    </row>
    <row r="427">
      <c r="A427" s="24"/>
      <c r="B427" s="24"/>
      <c r="C427" s="62"/>
      <c r="D427" s="62"/>
      <c r="E427" s="62"/>
      <c r="F427" s="62"/>
    </row>
    <row r="428">
      <c r="A428" s="24"/>
      <c r="B428" s="24"/>
      <c r="C428" s="62"/>
      <c r="D428" s="62"/>
      <c r="E428" s="62"/>
      <c r="F428" s="62"/>
    </row>
    <row r="429">
      <c r="A429" s="24"/>
      <c r="B429" s="24"/>
      <c r="C429" s="62"/>
      <c r="D429" s="62"/>
      <c r="E429" s="62"/>
      <c r="F429" s="62"/>
    </row>
    <row r="430">
      <c r="A430" s="24"/>
      <c r="B430" s="24"/>
      <c r="C430" s="62"/>
      <c r="D430" s="62"/>
      <c r="E430" s="62"/>
      <c r="F430" s="62"/>
    </row>
    <row r="431">
      <c r="A431" s="24"/>
      <c r="B431" s="24"/>
      <c r="C431" s="62"/>
      <c r="D431" s="62"/>
      <c r="E431" s="62"/>
      <c r="F431" s="62"/>
    </row>
    <row r="432">
      <c r="A432" s="24"/>
      <c r="B432" s="24"/>
      <c r="C432" s="62"/>
      <c r="D432" s="62"/>
      <c r="E432" s="62"/>
      <c r="F432" s="62"/>
    </row>
    <row r="433">
      <c r="A433" s="24"/>
      <c r="B433" s="24"/>
      <c r="C433" s="62"/>
      <c r="D433" s="62"/>
      <c r="E433" s="62"/>
      <c r="F433" s="62"/>
    </row>
    <row r="434">
      <c r="A434" s="24"/>
      <c r="B434" s="24"/>
      <c r="C434" s="62"/>
      <c r="D434" s="62"/>
      <c r="E434" s="62"/>
      <c r="F434" s="62"/>
    </row>
    <row r="435">
      <c r="A435" s="24"/>
      <c r="B435" s="24"/>
      <c r="C435" s="62"/>
      <c r="D435" s="62"/>
      <c r="E435" s="62"/>
      <c r="F435" s="62"/>
    </row>
    <row r="436">
      <c r="A436" s="24"/>
      <c r="B436" s="24"/>
      <c r="C436" s="62"/>
      <c r="D436" s="62"/>
      <c r="E436" s="62"/>
      <c r="F436" s="62"/>
    </row>
    <row r="437">
      <c r="A437" s="24"/>
      <c r="B437" s="24"/>
      <c r="C437" s="62"/>
      <c r="D437" s="62"/>
      <c r="E437" s="62"/>
      <c r="F437" s="62"/>
    </row>
    <row r="438">
      <c r="A438" s="24"/>
      <c r="B438" s="24"/>
      <c r="C438" s="62"/>
      <c r="D438" s="62"/>
      <c r="E438" s="62"/>
      <c r="F438" s="62"/>
    </row>
    <row r="439">
      <c r="A439" s="24"/>
      <c r="B439" s="24"/>
      <c r="C439" s="62"/>
      <c r="D439" s="62"/>
      <c r="E439" s="62"/>
      <c r="F439" s="62"/>
    </row>
    <row r="440">
      <c r="A440" s="24"/>
      <c r="B440" s="24"/>
      <c r="C440" s="62"/>
      <c r="D440" s="62"/>
      <c r="E440" s="62"/>
      <c r="F440" s="62"/>
    </row>
    <row r="441">
      <c r="A441" s="24"/>
      <c r="B441" s="24"/>
      <c r="C441" s="62"/>
      <c r="D441" s="62"/>
      <c r="E441" s="62"/>
      <c r="F441" s="62"/>
    </row>
    <row r="442">
      <c r="A442" s="24"/>
      <c r="B442" s="24"/>
      <c r="C442" s="62"/>
      <c r="D442" s="62"/>
      <c r="E442" s="62"/>
      <c r="F442" s="62"/>
    </row>
    <row r="443">
      <c r="A443" s="24"/>
      <c r="B443" s="24"/>
      <c r="C443" s="62"/>
      <c r="D443" s="62"/>
      <c r="E443" s="62"/>
      <c r="F443" s="62"/>
    </row>
    <row r="444">
      <c r="A444" s="24"/>
      <c r="B444" s="24"/>
      <c r="C444" s="62"/>
      <c r="D444" s="62"/>
      <c r="E444" s="62"/>
      <c r="F444" s="62"/>
    </row>
    <row r="445">
      <c r="A445" s="24"/>
      <c r="B445" s="24"/>
      <c r="C445" s="62"/>
      <c r="D445" s="62"/>
      <c r="E445" s="62"/>
      <c r="F445" s="62"/>
    </row>
    <row r="446">
      <c r="A446" s="24"/>
      <c r="B446" s="24"/>
      <c r="C446" s="62"/>
      <c r="D446" s="62"/>
      <c r="E446" s="62"/>
      <c r="F446" s="62"/>
    </row>
    <row r="447">
      <c r="A447" s="24"/>
      <c r="B447" s="24"/>
      <c r="C447" s="62"/>
      <c r="D447" s="62"/>
      <c r="E447" s="62"/>
      <c r="F447" s="62"/>
    </row>
    <row r="448">
      <c r="A448" s="24"/>
      <c r="B448" s="24"/>
      <c r="C448" s="62"/>
      <c r="D448" s="62"/>
      <c r="E448" s="62"/>
      <c r="F448" s="62"/>
    </row>
    <row r="449">
      <c r="A449" s="24"/>
      <c r="B449" s="24"/>
      <c r="C449" s="62"/>
      <c r="D449" s="62"/>
      <c r="E449" s="62"/>
      <c r="F449" s="62"/>
    </row>
    <row r="450">
      <c r="A450" s="24"/>
      <c r="B450" s="24"/>
      <c r="C450" s="62"/>
      <c r="D450" s="62"/>
      <c r="E450" s="62"/>
      <c r="F450" s="62"/>
    </row>
    <row r="451">
      <c r="A451" s="24"/>
      <c r="B451" s="24"/>
      <c r="C451" s="62"/>
      <c r="D451" s="62"/>
      <c r="E451" s="62"/>
      <c r="F451" s="62"/>
    </row>
    <row r="452">
      <c r="A452" s="24"/>
      <c r="B452" s="24"/>
      <c r="C452" s="62"/>
      <c r="D452" s="62"/>
      <c r="E452" s="62"/>
      <c r="F452" s="62"/>
    </row>
    <row r="453">
      <c r="A453" s="24"/>
      <c r="B453" s="24"/>
      <c r="C453" s="62"/>
      <c r="D453" s="62"/>
      <c r="E453" s="62"/>
      <c r="F453" s="62"/>
    </row>
    <row r="454">
      <c r="A454" s="24"/>
      <c r="B454" s="24"/>
      <c r="C454" s="62"/>
      <c r="D454" s="62"/>
      <c r="E454" s="62"/>
      <c r="F454" s="62"/>
    </row>
    <row r="455">
      <c r="A455" s="24"/>
      <c r="B455" s="24"/>
      <c r="C455" s="62"/>
      <c r="D455" s="62"/>
      <c r="E455" s="62"/>
      <c r="F455" s="62"/>
    </row>
    <row r="456">
      <c r="A456" s="24"/>
      <c r="B456" s="24"/>
      <c r="C456" s="62"/>
      <c r="D456" s="62"/>
      <c r="E456" s="62"/>
      <c r="F456" s="62"/>
    </row>
    <row r="457">
      <c r="A457" s="24"/>
      <c r="B457" s="24"/>
      <c r="C457" s="62"/>
      <c r="D457" s="62"/>
      <c r="E457" s="62"/>
      <c r="F457" s="62"/>
    </row>
    <row r="458">
      <c r="A458" s="24"/>
      <c r="B458" s="24"/>
      <c r="C458" s="62"/>
      <c r="D458" s="62"/>
      <c r="E458" s="62"/>
      <c r="F458" s="62"/>
    </row>
    <row r="459">
      <c r="A459" s="24"/>
      <c r="B459" s="24"/>
      <c r="C459" s="62"/>
      <c r="D459" s="62"/>
      <c r="E459" s="62"/>
      <c r="F459" s="62"/>
    </row>
    <row r="460">
      <c r="A460" s="24"/>
      <c r="B460" s="24"/>
      <c r="C460" s="62"/>
      <c r="D460" s="62"/>
      <c r="E460" s="62"/>
      <c r="F460" s="62"/>
    </row>
    <row r="461">
      <c r="A461" s="24"/>
      <c r="B461" s="24"/>
      <c r="C461" s="62"/>
      <c r="D461" s="62"/>
      <c r="E461" s="62"/>
      <c r="F461" s="62"/>
    </row>
    <row r="462">
      <c r="A462" s="24"/>
      <c r="B462" s="24"/>
      <c r="C462" s="62"/>
      <c r="D462" s="62"/>
      <c r="E462" s="62"/>
      <c r="F462" s="62"/>
    </row>
    <row r="463">
      <c r="A463" s="24"/>
      <c r="B463" s="24"/>
      <c r="C463" s="62"/>
      <c r="D463" s="62"/>
      <c r="E463" s="62"/>
      <c r="F463" s="62"/>
    </row>
    <row r="464">
      <c r="A464" s="24"/>
      <c r="B464" s="24"/>
      <c r="C464" s="62"/>
      <c r="D464" s="62"/>
      <c r="E464" s="62"/>
      <c r="F464" s="62"/>
    </row>
    <row r="465">
      <c r="A465" s="24"/>
      <c r="B465" s="24"/>
      <c r="C465" s="62"/>
      <c r="D465" s="62"/>
      <c r="E465" s="62"/>
      <c r="F465" s="62"/>
    </row>
    <row r="466">
      <c r="A466" s="24"/>
      <c r="B466" s="24"/>
      <c r="C466" s="62"/>
      <c r="D466" s="62"/>
      <c r="E466" s="62"/>
      <c r="F466" s="62"/>
    </row>
    <row r="467">
      <c r="A467" s="24"/>
      <c r="B467" s="24"/>
      <c r="C467" s="62"/>
      <c r="D467" s="62"/>
      <c r="E467" s="62"/>
      <c r="F467" s="62"/>
    </row>
    <row r="468">
      <c r="A468" s="24"/>
      <c r="B468" s="24"/>
      <c r="C468" s="62"/>
      <c r="D468" s="62"/>
      <c r="E468" s="62"/>
      <c r="F468" s="62"/>
    </row>
    <row r="469">
      <c r="A469" s="24"/>
      <c r="B469" s="24"/>
      <c r="C469" s="62"/>
      <c r="D469" s="62"/>
      <c r="E469" s="62"/>
      <c r="F469" s="62"/>
    </row>
    <row r="470">
      <c r="A470" s="24"/>
      <c r="B470" s="24"/>
      <c r="C470" s="62"/>
      <c r="D470" s="62"/>
      <c r="E470" s="62"/>
      <c r="F470" s="62"/>
    </row>
    <row r="471">
      <c r="A471" s="24"/>
      <c r="B471" s="24"/>
      <c r="C471" s="62"/>
      <c r="D471" s="62"/>
      <c r="E471" s="62"/>
      <c r="F471" s="62"/>
    </row>
    <row r="472">
      <c r="A472" s="24"/>
      <c r="B472" s="24"/>
      <c r="C472" s="62"/>
      <c r="D472" s="62"/>
      <c r="E472" s="62"/>
      <c r="F472" s="62"/>
    </row>
    <row r="473">
      <c r="A473" s="24"/>
      <c r="B473" s="24"/>
      <c r="C473" s="62"/>
      <c r="D473" s="62"/>
      <c r="E473" s="62"/>
      <c r="F473" s="62"/>
    </row>
    <row r="474">
      <c r="A474" s="24"/>
      <c r="B474" s="24"/>
      <c r="C474" s="62"/>
      <c r="D474" s="62"/>
      <c r="E474" s="62"/>
      <c r="F474" s="62"/>
    </row>
    <row r="475">
      <c r="A475" s="24"/>
      <c r="B475" s="24"/>
      <c r="C475" s="62"/>
      <c r="D475" s="62"/>
      <c r="E475" s="62"/>
      <c r="F475" s="62"/>
    </row>
    <row r="476">
      <c r="A476" s="24"/>
      <c r="B476" s="24"/>
      <c r="C476" s="62"/>
      <c r="D476" s="62"/>
      <c r="E476" s="62"/>
      <c r="F476" s="62"/>
    </row>
    <row r="477">
      <c r="A477" s="24"/>
      <c r="B477" s="24"/>
      <c r="C477" s="62"/>
      <c r="D477" s="62"/>
      <c r="E477" s="62"/>
      <c r="F477" s="62"/>
    </row>
    <row r="478">
      <c r="A478" s="24"/>
      <c r="B478" s="24"/>
      <c r="C478" s="62"/>
      <c r="D478" s="62"/>
      <c r="E478" s="62"/>
      <c r="F478" s="62"/>
    </row>
    <row r="479">
      <c r="A479" s="24"/>
      <c r="B479" s="24"/>
      <c r="C479" s="62"/>
      <c r="D479" s="62"/>
      <c r="E479" s="62"/>
      <c r="F479" s="62"/>
    </row>
    <row r="480">
      <c r="A480" s="24"/>
      <c r="B480" s="24"/>
      <c r="C480" s="62"/>
      <c r="D480" s="62"/>
      <c r="E480" s="62"/>
      <c r="F480" s="62"/>
    </row>
    <row r="481">
      <c r="A481" s="24"/>
      <c r="B481" s="24"/>
      <c r="C481" s="62"/>
      <c r="D481" s="62"/>
      <c r="E481" s="62"/>
      <c r="F481" s="62"/>
    </row>
    <row r="482">
      <c r="A482" s="24"/>
      <c r="B482" s="24"/>
      <c r="C482" s="62"/>
      <c r="D482" s="62"/>
      <c r="E482" s="62"/>
      <c r="F482" s="62"/>
    </row>
    <row r="483">
      <c r="A483" s="24"/>
      <c r="B483" s="24"/>
      <c r="C483" s="62"/>
      <c r="D483" s="62"/>
      <c r="E483" s="62"/>
      <c r="F483" s="62"/>
    </row>
    <row r="484">
      <c r="A484" s="24"/>
      <c r="B484" s="24"/>
      <c r="C484" s="62"/>
      <c r="D484" s="62"/>
      <c r="E484" s="62"/>
      <c r="F484" s="62"/>
    </row>
    <row r="485">
      <c r="A485" s="24"/>
      <c r="B485" s="24"/>
      <c r="C485" s="62"/>
      <c r="D485" s="62"/>
      <c r="E485" s="62"/>
      <c r="F485" s="62"/>
    </row>
    <row r="486">
      <c r="A486" s="24"/>
      <c r="B486" s="24"/>
      <c r="C486" s="62"/>
      <c r="D486" s="62"/>
      <c r="E486" s="62"/>
      <c r="F486" s="62"/>
    </row>
    <row r="487">
      <c r="A487" s="24"/>
      <c r="B487" s="24"/>
      <c r="C487" s="62"/>
      <c r="D487" s="62"/>
      <c r="E487" s="62"/>
      <c r="F487" s="62"/>
    </row>
    <row r="488">
      <c r="A488" s="24"/>
      <c r="B488" s="24"/>
      <c r="C488" s="62"/>
      <c r="D488" s="62"/>
      <c r="E488" s="62"/>
      <c r="F488" s="62"/>
    </row>
    <row r="489">
      <c r="A489" s="24"/>
      <c r="B489" s="24"/>
      <c r="C489" s="62"/>
      <c r="D489" s="62"/>
      <c r="E489" s="62"/>
      <c r="F489" s="62"/>
    </row>
    <row r="490">
      <c r="A490" s="24"/>
      <c r="B490" s="24"/>
      <c r="C490" s="62"/>
      <c r="D490" s="62"/>
      <c r="E490" s="62"/>
      <c r="F490" s="62"/>
    </row>
    <row r="491">
      <c r="A491" s="24"/>
      <c r="B491" s="24"/>
      <c r="C491" s="62"/>
      <c r="D491" s="62"/>
      <c r="E491" s="62"/>
      <c r="F491" s="62"/>
    </row>
    <row r="492">
      <c r="A492" s="24"/>
      <c r="B492" s="24"/>
      <c r="C492" s="62"/>
      <c r="D492" s="62"/>
      <c r="E492" s="62"/>
      <c r="F492" s="62"/>
    </row>
    <row r="493">
      <c r="A493" s="24"/>
      <c r="B493" s="24"/>
      <c r="C493" s="62"/>
      <c r="D493" s="62"/>
      <c r="E493" s="62"/>
      <c r="F493" s="62"/>
    </row>
    <row r="494">
      <c r="A494" s="24"/>
      <c r="B494" s="24"/>
      <c r="C494" s="62"/>
      <c r="D494" s="62"/>
      <c r="E494" s="62"/>
      <c r="F494" s="62"/>
    </row>
    <row r="495">
      <c r="A495" s="24"/>
      <c r="B495" s="24"/>
      <c r="C495" s="62"/>
      <c r="D495" s="62"/>
      <c r="E495" s="62"/>
      <c r="F495" s="62"/>
    </row>
    <row r="496">
      <c r="A496" s="24"/>
      <c r="B496" s="24"/>
      <c r="C496" s="62"/>
      <c r="D496" s="62"/>
      <c r="E496" s="62"/>
      <c r="F496" s="62"/>
    </row>
    <row r="497">
      <c r="A497" s="24"/>
      <c r="B497" s="24"/>
      <c r="C497" s="62"/>
      <c r="D497" s="62"/>
      <c r="E497" s="62"/>
      <c r="F497" s="62"/>
    </row>
    <row r="498">
      <c r="A498" s="24"/>
      <c r="B498" s="24"/>
      <c r="C498" s="62"/>
      <c r="D498" s="62"/>
      <c r="E498" s="62"/>
      <c r="F498" s="62"/>
    </row>
    <row r="499">
      <c r="A499" s="24"/>
      <c r="B499" s="24"/>
      <c r="C499" s="62"/>
      <c r="D499" s="62"/>
      <c r="E499" s="62"/>
      <c r="F499" s="62"/>
    </row>
    <row r="500">
      <c r="A500" s="24"/>
      <c r="B500" s="24"/>
      <c r="C500" s="62"/>
      <c r="D500" s="62"/>
      <c r="E500" s="62"/>
      <c r="F500" s="62"/>
    </row>
    <row r="501">
      <c r="A501" s="24"/>
      <c r="B501" s="24"/>
      <c r="C501" s="62"/>
      <c r="D501" s="62"/>
      <c r="E501" s="62"/>
      <c r="F501" s="62"/>
    </row>
    <row r="502">
      <c r="A502" s="24"/>
      <c r="B502" s="24"/>
      <c r="C502" s="62"/>
      <c r="D502" s="62"/>
      <c r="E502" s="62"/>
      <c r="F502" s="62"/>
    </row>
    <row r="503">
      <c r="A503" s="24"/>
      <c r="B503" s="24"/>
      <c r="C503" s="62"/>
      <c r="D503" s="62"/>
      <c r="E503" s="62"/>
      <c r="F503" s="62"/>
    </row>
    <row r="504">
      <c r="A504" s="24"/>
      <c r="B504" s="24"/>
      <c r="C504" s="62"/>
      <c r="D504" s="62"/>
      <c r="E504" s="62"/>
      <c r="F504" s="62"/>
    </row>
    <row r="505">
      <c r="A505" s="24"/>
      <c r="B505" s="24"/>
      <c r="C505" s="62"/>
      <c r="D505" s="62"/>
      <c r="E505" s="62"/>
      <c r="F505" s="62"/>
    </row>
    <row r="506">
      <c r="A506" s="24"/>
      <c r="B506" s="24"/>
      <c r="C506" s="62"/>
      <c r="D506" s="62"/>
      <c r="E506" s="62"/>
      <c r="F506" s="62"/>
    </row>
    <row r="507">
      <c r="A507" s="24"/>
      <c r="B507" s="24"/>
      <c r="C507" s="62"/>
      <c r="D507" s="62"/>
      <c r="E507" s="62"/>
      <c r="F507" s="62"/>
    </row>
    <row r="508">
      <c r="A508" s="24"/>
      <c r="B508" s="24"/>
      <c r="C508" s="62"/>
      <c r="D508" s="62"/>
      <c r="E508" s="62"/>
      <c r="F508" s="62"/>
    </row>
    <row r="509">
      <c r="A509" s="24"/>
      <c r="B509" s="24"/>
      <c r="C509" s="62"/>
      <c r="D509" s="62"/>
      <c r="E509" s="62"/>
      <c r="F509" s="62"/>
    </row>
    <row r="510">
      <c r="A510" s="24"/>
      <c r="B510" s="24"/>
      <c r="C510" s="62"/>
      <c r="D510" s="62"/>
      <c r="E510" s="62"/>
      <c r="F510" s="62"/>
    </row>
    <row r="511">
      <c r="A511" s="24"/>
      <c r="B511" s="24"/>
      <c r="C511" s="62"/>
      <c r="D511" s="62"/>
      <c r="E511" s="62"/>
      <c r="F511" s="62"/>
    </row>
    <row r="512">
      <c r="A512" s="24"/>
      <c r="B512" s="24"/>
      <c r="C512" s="62"/>
      <c r="D512" s="62"/>
      <c r="E512" s="62"/>
      <c r="F512" s="62"/>
    </row>
    <row r="513">
      <c r="A513" s="24"/>
      <c r="B513" s="24"/>
      <c r="C513" s="62"/>
      <c r="D513" s="62"/>
      <c r="E513" s="62"/>
      <c r="F513" s="62"/>
    </row>
    <row r="514">
      <c r="A514" s="24"/>
      <c r="B514" s="24"/>
      <c r="C514" s="62"/>
      <c r="D514" s="62"/>
      <c r="E514" s="62"/>
      <c r="F514" s="62"/>
    </row>
    <row r="515">
      <c r="A515" s="24"/>
      <c r="B515" s="24"/>
      <c r="C515" s="62"/>
      <c r="D515" s="62"/>
      <c r="E515" s="62"/>
      <c r="F515" s="62"/>
    </row>
    <row r="516">
      <c r="A516" s="24"/>
      <c r="B516" s="24"/>
      <c r="C516" s="62"/>
      <c r="D516" s="62"/>
      <c r="E516" s="62"/>
      <c r="F516" s="62"/>
    </row>
    <row r="517">
      <c r="A517" s="24"/>
      <c r="B517" s="24"/>
      <c r="C517" s="62"/>
      <c r="D517" s="62"/>
      <c r="E517" s="62"/>
      <c r="F517" s="62"/>
    </row>
    <row r="518">
      <c r="A518" s="24"/>
      <c r="B518" s="24"/>
      <c r="C518" s="62"/>
      <c r="D518" s="62"/>
      <c r="E518" s="62"/>
      <c r="F518" s="62"/>
    </row>
    <row r="519">
      <c r="A519" s="24"/>
      <c r="B519" s="24"/>
      <c r="C519" s="62"/>
      <c r="D519" s="62"/>
      <c r="E519" s="62"/>
      <c r="F519" s="62"/>
    </row>
    <row r="520">
      <c r="A520" s="24"/>
      <c r="B520" s="24"/>
      <c r="C520" s="62"/>
      <c r="D520" s="62"/>
      <c r="E520" s="62"/>
      <c r="F520" s="62"/>
    </row>
    <row r="521">
      <c r="A521" s="24"/>
      <c r="B521" s="24"/>
      <c r="C521" s="62"/>
      <c r="D521" s="62"/>
      <c r="E521" s="62"/>
      <c r="F521" s="62"/>
    </row>
    <row r="522">
      <c r="A522" s="24"/>
      <c r="B522" s="24"/>
      <c r="C522" s="62"/>
      <c r="D522" s="62"/>
      <c r="E522" s="62"/>
      <c r="F522" s="62"/>
    </row>
    <row r="523">
      <c r="A523" s="24"/>
      <c r="B523" s="24"/>
      <c r="C523" s="62"/>
      <c r="D523" s="62"/>
      <c r="E523" s="62"/>
      <c r="F523" s="62"/>
    </row>
    <row r="524">
      <c r="A524" s="24"/>
      <c r="B524" s="24"/>
      <c r="C524" s="62"/>
      <c r="D524" s="62"/>
      <c r="E524" s="62"/>
      <c r="F524" s="62"/>
    </row>
    <row r="525">
      <c r="A525" s="24"/>
      <c r="B525" s="24"/>
      <c r="C525" s="62"/>
      <c r="D525" s="62"/>
      <c r="E525" s="62"/>
      <c r="F525" s="62"/>
    </row>
    <row r="526">
      <c r="A526" s="24"/>
      <c r="B526" s="24"/>
      <c r="C526" s="62"/>
      <c r="D526" s="62"/>
      <c r="E526" s="62"/>
      <c r="F526" s="62"/>
    </row>
    <row r="527">
      <c r="A527" s="24"/>
      <c r="B527" s="24"/>
      <c r="C527" s="62"/>
      <c r="D527" s="62"/>
      <c r="E527" s="62"/>
      <c r="F527" s="62"/>
    </row>
    <row r="528">
      <c r="A528" s="24"/>
      <c r="B528" s="24"/>
      <c r="C528" s="62"/>
      <c r="D528" s="62"/>
      <c r="E528" s="62"/>
      <c r="F528" s="62"/>
    </row>
    <row r="529">
      <c r="A529" s="24"/>
      <c r="B529" s="24"/>
      <c r="C529" s="62"/>
      <c r="D529" s="62"/>
      <c r="E529" s="62"/>
      <c r="F529" s="62"/>
    </row>
    <row r="530">
      <c r="A530" s="24"/>
      <c r="B530" s="24"/>
      <c r="C530" s="62"/>
      <c r="D530" s="62"/>
      <c r="E530" s="62"/>
      <c r="F530" s="62"/>
    </row>
    <row r="531">
      <c r="A531" s="24"/>
      <c r="B531" s="24"/>
      <c r="C531" s="62"/>
      <c r="D531" s="62"/>
      <c r="E531" s="62"/>
      <c r="F531" s="62"/>
    </row>
    <row r="532">
      <c r="A532" s="24"/>
      <c r="B532" s="24"/>
      <c r="C532" s="62"/>
      <c r="D532" s="62"/>
      <c r="E532" s="62"/>
      <c r="F532" s="62"/>
    </row>
    <row r="533">
      <c r="A533" s="24"/>
      <c r="B533" s="24"/>
      <c r="C533" s="62"/>
      <c r="D533" s="62"/>
      <c r="E533" s="62"/>
      <c r="F533" s="62"/>
    </row>
    <row r="534">
      <c r="A534" s="24"/>
      <c r="B534" s="24"/>
      <c r="C534" s="62"/>
      <c r="D534" s="62"/>
      <c r="E534" s="62"/>
      <c r="F534" s="62"/>
    </row>
    <row r="535">
      <c r="A535" s="24"/>
      <c r="B535" s="24"/>
      <c r="C535" s="62"/>
      <c r="D535" s="62"/>
      <c r="E535" s="62"/>
      <c r="F535" s="62"/>
    </row>
    <row r="536">
      <c r="A536" s="24"/>
      <c r="B536" s="24"/>
      <c r="C536" s="62"/>
      <c r="D536" s="62"/>
      <c r="E536" s="62"/>
      <c r="F536" s="62"/>
    </row>
    <row r="537">
      <c r="A537" s="24"/>
      <c r="B537" s="24"/>
      <c r="C537" s="62"/>
      <c r="D537" s="62"/>
      <c r="E537" s="62"/>
      <c r="F537" s="62"/>
    </row>
    <row r="538">
      <c r="A538" s="24"/>
      <c r="B538" s="24"/>
      <c r="C538" s="62"/>
      <c r="D538" s="62"/>
      <c r="E538" s="62"/>
      <c r="F538" s="62"/>
    </row>
    <row r="539">
      <c r="A539" s="24"/>
      <c r="B539" s="24"/>
      <c r="C539" s="62"/>
      <c r="D539" s="62"/>
      <c r="E539" s="62"/>
      <c r="F539" s="62"/>
    </row>
    <row r="540">
      <c r="A540" s="24"/>
      <c r="B540" s="24"/>
      <c r="C540" s="62"/>
      <c r="D540" s="62"/>
      <c r="E540" s="62"/>
      <c r="F540" s="62"/>
    </row>
    <row r="541">
      <c r="A541" s="24"/>
      <c r="B541" s="24"/>
      <c r="C541" s="62"/>
      <c r="D541" s="62"/>
      <c r="E541" s="62"/>
      <c r="F541" s="62"/>
    </row>
    <row r="542">
      <c r="A542" s="24"/>
      <c r="B542" s="24"/>
      <c r="C542" s="62"/>
      <c r="D542" s="62"/>
      <c r="E542" s="62"/>
      <c r="F542" s="62"/>
    </row>
    <row r="543">
      <c r="A543" s="24"/>
      <c r="B543" s="24"/>
      <c r="C543" s="62"/>
      <c r="D543" s="62"/>
      <c r="E543" s="62"/>
      <c r="F543" s="62"/>
    </row>
    <row r="544">
      <c r="A544" s="24"/>
      <c r="B544" s="24"/>
      <c r="C544" s="62"/>
      <c r="D544" s="62"/>
      <c r="E544" s="62"/>
      <c r="F544" s="62"/>
    </row>
    <row r="545">
      <c r="A545" s="24"/>
      <c r="B545" s="24"/>
      <c r="C545" s="62"/>
      <c r="D545" s="62"/>
      <c r="E545" s="62"/>
      <c r="F545" s="62"/>
    </row>
    <row r="546">
      <c r="A546" s="24"/>
      <c r="B546" s="24"/>
      <c r="C546" s="62"/>
      <c r="D546" s="62"/>
      <c r="E546" s="62"/>
      <c r="F546" s="62"/>
    </row>
    <row r="547">
      <c r="A547" s="24"/>
      <c r="B547" s="24"/>
      <c r="C547" s="62"/>
      <c r="D547" s="62"/>
      <c r="E547" s="62"/>
      <c r="F547" s="62"/>
    </row>
    <row r="548">
      <c r="A548" s="24"/>
      <c r="B548" s="24"/>
      <c r="C548" s="62"/>
      <c r="D548" s="62"/>
      <c r="E548" s="62"/>
      <c r="F548" s="62"/>
    </row>
    <row r="549">
      <c r="A549" s="24"/>
      <c r="B549" s="24"/>
      <c r="C549" s="62"/>
      <c r="D549" s="62"/>
      <c r="E549" s="62"/>
      <c r="F549" s="62"/>
    </row>
    <row r="550">
      <c r="A550" s="24"/>
      <c r="B550" s="24"/>
      <c r="C550" s="62"/>
      <c r="D550" s="62"/>
      <c r="E550" s="62"/>
      <c r="F550" s="62"/>
    </row>
    <row r="551">
      <c r="A551" s="24"/>
      <c r="B551" s="24"/>
      <c r="C551" s="62"/>
      <c r="D551" s="62"/>
      <c r="E551" s="62"/>
      <c r="F551" s="62"/>
    </row>
    <row r="552">
      <c r="A552" s="24"/>
      <c r="B552" s="24"/>
      <c r="C552" s="62"/>
      <c r="D552" s="62"/>
      <c r="E552" s="62"/>
      <c r="F552" s="62"/>
    </row>
    <row r="553">
      <c r="A553" s="24"/>
      <c r="B553" s="24"/>
      <c r="C553" s="62"/>
      <c r="D553" s="62"/>
      <c r="E553" s="62"/>
      <c r="F553" s="62"/>
    </row>
    <row r="554">
      <c r="A554" s="24"/>
      <c r="B554" s="24"/>
      <c r="C554" s="62"/>
      <c r="D554" s="62"/>
      <c r="E554" s="62"/>
      <c r="F554" s="62"/>
    </row>
    <row r="555">
      <c r="A555" s="24"/>
      <c r="B555" s="24"/>
      <c r="C555" s="62"/>
      <c r="D555" s="62"/>
      <c r="E555" s="62"/>
      <c r="F555" s="62"/>
    </row>
    <row r="556">
      <c r="A556" s="24"/>
      <c r="B556" s="24"/>
      <c r="C556" s="62"/>
      <c r="D556" s="62"/>
      <c r="E556" s="62"/>
      <c r="F556" s="62"/>
    </row>
    <row r="557">
      <c r="A557" s="24"/>
      <c r="B557" s="24"/>
      <c r="C557" s="62"/>
      <c r="D557" s="62"/>
      <c r="E557" s="62"/>
      <c r="F557" s="62"/>
    </row>
    <row r="558">
      <c r="A558" s="24"/>
      <c r="B558" s="24"/>
      <c r="C558" s="62"/>
      <c r="D558" s="62"/>
      <c r="E558" s="62"/>
      <c r="F558" s="62"/>
    </row>
    <row r="559">
      <c r="A559" s="24"/>
      <c r="B559" s="24"/>
      <c r="C559" s="62"/>
      <c r="D559" s="62"/>
      <c r="E559" s="62"/>
      <c r="F559" s="62"/>
    </row>
    <row r="560">
      <c r="A560" s="24"/>
      <c r="B560" s="24"/>
      <c r="C560" s="62"/>
      <c r="D560" s="62"/>
      <c r="E560" s="62"/>
      <c r="F560" s="62"/>
    </row>
    <row r="561">
      <c r="A561" s="24"/>
      <c r="B561" s="24"/>
      <c r="C561" s="62"/>
      <c r="D561" s="62"/>
      <c r="E561" s="62"/>
      <c r="F561" s="62"/>
    </row>
    <row r="562">
      <c r="A562" s="24"/>
      <c r="B562" s="24"/>
      <c r="C562" s="62"/>
      <c r="D562" s="62"/>
      <c r="E562" s="62"/>
      <c r="F562" s="62"/>
    </row>
    <row r="563">
      <c r="A563" s="24"/>
      <c r="B563" s="24"/>
      <c r="C563" s="62"/>
      <c r="D563" s="62"/>
      <c r="E563" s="62"/>
      <c r="F563" s="62"/>
    </row>
    <row r="564">
      <c r="A564" s="24"/>
      <c r="B564" s="24"/>
      <c r="C564" s="62"/>
      <c r="D564" s="62"/>
      <c r="E564" s="62"/>
      <c r="F564" s="62"/>
    </row>
    <row r="565">
      <c r="A565" s="24"/>
      <c r="B565" s="24"/>
      <c r="C565" s="62"/>
      <c r="D565" s="62"/>
      <c r="E565" s="62"/>
      <c r="F565" s="62"/>
    </row>
    <row r="566">
      <c r="A566" s="24"/>
      <c r="B566" s="24"/>
      <c r="C566" s="62"/>
      <c r="D566" s="62"/>
      <c r="E566" s="62"/>
      <c r="F566" s="62"/>
    </row>
    <row r="567">
      <c r="A567" s="24"/>
      <c r="B567" s="24"/>
      <c r="C567" s="62"/>
      <c r="D567" s="62"/>
      <c r="E567" s="62"/>
      <c r="F567" s="62"/>
    </row>
    <row r="568">
      <c r="A568" s="24"/>
      <c r="B568" s="24"/>
      <c r="C568" s="62"/>
      <c r="D568" s="62"/>
      <c r="E568" s="62"/>
      <c r="F568" s="62"/>
    </row>
    <row r="569">
      <c r="A569" s="24"/>
      <c r="B569" s="24"/>
      <c r="C569" s="62"/>
      <c r="D569" s="62"/>
      <c r="E569" s="62"/>
      <c r="F569" s="62"/>
    </row>
    <row r="570">
      <c r="A570" s="24"/>
      <c r="B570" s="24"/>
      <c r="C570" s="62"/>
      <c r="D570" s="62"/>
      <c r="E570" s="62"/>
      <c r="F570" s="62"/>
    </row>
    <row r="571">
      <c r="A571" s="24"/>
      <c r="B571" s="24"/>
      <c r="C571" s="62"/>
      <c r="D571" s="62"/>
      <c r="E571" s="62"/>
      <c r="F571" s="62"/>
    </row>
    <row r="572">
      <c r="A572" s="24"/>
      <c r="B572" s="24"/>
      <c r="C572" s="62"/>
      <c r="D572" s="62"/>
      <c r="E572" s="62"/>
      <c r="F572" s="62"/>
    </row>
    <row r="573">
      <c r="A573" s="24"/>
      <c r="B573" s="24"/>
      <c r="C573" s="62"/>
      <c r="D573" s="62"/>
      <c r="E573" s="62"/>
      <c r="F573" s="62"/>
    </row>
    <row r="574">
      <c r="A574" s="24"/>
      <c r="B574" s="24"/>
      <c r="C574" s="62"/>
      <c r="D574" s="62"/>
      <c r="E574" s="62"/>
      <c r="F574" s="62"/>
    </row>
    <row r="575">
      <c r="A575" s="24"/>
      <c r="B575" s="24"/>
      <c r="C575" s="62"/>
      <c r="D575" s="62"/>
      <c r="E575" s="62"/>
      <c r="F575" s="62"/>
    </row>
    <row r="576">
      <c r="A576" s="24"/>
      <c r="B576" s="24"/>
      <c r="C576" s="62"/>
      <c r="D576" s="62"/>
      <c r="E576" s="62"/>
      <c r="F576" s="62"/>
    </row>
    <row r="577">
      <c r="A577" s="24"/>
      <c r="B577" s="24"/>
      <c r="C577" s="62"/>
      <c r="D577" s="62"/>
      <c r="E577" s="62"/>
      <c r="F577" s="62"/>
    </row>
    <row r="578">
      <c r="A578" s="24"/>
      <c r="B578" s="24"/>
      <c r="C578" s="62"/>
      <c r="D578" s="62"/>
      <c r="E578" s="62"/>
      <c r="F578" s="62"/>
    </row>
    <row r="579">
      <c r="A579" s="24"/>
      <c r="B579" s="24"/>
      <c r="C579" s="62"/>
      <c r="D579" s="62"/>
      <c r="E579" s="62"/>
      <c r="F579" s="62"/>
    </row>
    <row r="580">
      <c r="A580" s="24"/>
      <c r="B580" s="24"/>
      <c r="C580" s="62"/>
      <c r="D580" s="62"/>
      <c r="E580" s="62"/>
      <c r="F580" s="62"/>
    </row>
    <row r="581">
      <c r="A581" s="24"/>
      <c r="B581" s="24"/>
      <c r="C581" s="62"/>
      <c r="D581" s="62"/>
      <c r="E581" s="62"/>
      <c r="F581" s="62"/>
    </row>
    <row r="582">
      <c r="A582" s="24"/>
      <c r="B582" s="24"/>
      <c r="C582" s="62"/>
      <c r="D582" s="62"/>
      <c r="E582" s="62"/>
      <c r="F582" s="62"/>
    </row>
    <row r="583">
      <c r="A583" s="24"/>
      <c r="B583" s="24"/>
      <c r="C583" s="62"/>
      <c r="D583" s="62"/>
      <c r="E583" s="62"/>
      <c r="F583" s="62"/>
    </row>
    <row r="584">
      <c r="A584" s="24"/>
      <c r="B584" s="24"/>
      <c r="C584" s="62"/>
      <c r="D584" s="62"/>
      <c r="E584" s="62"/>
      <c r="F584" s="62"/>
    </row>
    <row r="585">
      <c r="A585" s="24"/>
      <c r="B585" s="24"/>
      <c r="C585" s="62"/>
      <c r="D585" s="62"/>
      <c r="E585" s="62"/>
      <c r="F585" s="62"/>
    </row>
    <row r="586">
      <c r="A586" s="24"/>
      <c r="B586" s="24"/>
      <c r="C586" s="62"/>
      <c r="D586" s="62"/>
      <c r="E586" s="62"/>
      <c r="F586" s="62"/>
    </row>
    <row r="587">
      <c r="A587" s="24"/>
      <c r="B587" s="24"/>
      <c r="C587" s="62"/>
      <c r="D587" s="62"/>
      <c r="E587" s="62"/>
      <c r="F587" s="62"/>
    </row>
    <row r="588">
      <c r="A588" s="24"/>
      <c r="B588" s="24"/>
      <c r="C588" s="62"/>
      <c r="D588" s="62"/>
      <c r="E588" s="62"/>
      <c r="F588" s="62"/>
    </row>
    <row r="589">
      <c r="A589" s="24"/>
      <c r="B589" s="24"/>
      <c r="C589" s="62"/>
      <c r="D589" s="62"/>
      <c r="E589" s="62"/>
      <c r="F589" s="62"/>
    </row>
    <row r="590">
      <c r="A590" s="24"/>
      <c r="B590" s="24"/>
      <c r="C590" s="62"/>
      <c r="D590" s="62"/>
      <c r="E590" s="62"/>
      <c r="F590" s="62"/>
    </row>
    <row r="591">
      <c r="A591" s="24"/>
      <c r="B591" s="24"/>
      <c r="C591" s="62"/>
      <c r="D591" s="62"/>
      <c r="E591" s="62"/>
      <c r="F591" s="62"/>
    </row>
    <row r="592">
      <c r="A592" s="24"/>
      <c r="B592" s="24"/>
      <c r="C592" s="62"/>
      <c r="D592" s="62"/>
      <c r="E592" s="62"/>
      <c r="F592" s="62"/>
    </row>
    <row r="593">
      <c r="A593" s="24"/>
      <c r="B593" s="24"/>
      <c r="C593" s="62"/>
      <c r="D593" s="62"/>
      <c r="E593" s="62"/>
      <c r="F593" s="62"/>
    </row>
    <row r="594">
      <c r="A594" s="24"/>
      <c r="B594" s="24"/>
      <c r="C594" s="62"/>
      <c r="D594" s="62"/>
      <c r="E594" s="62"/>
      <c r="F594" s="62"/>
    </row>
    <row r="595">
      <c r="A595" s="24"/>
      <c r="B595" s="24"/>
      <c r="C595" s="62"/>
      <c r="D595" s="62"/>
      <c r="E595" s="62"/>
      <c r="F595" s="62"/>
    </row>
    <row r="596">
      <c r="A596" s="24"/>
      <c r="B596" s="24"/>
      <c r="C596" s="62"/>
      <c r="D596" s="62"/>
      <c r="E596" s="62"/>
      <c r="F596" s="62"/>
    </row>
    <row r="597">
      <c r="A597" s="24"/>
      <c r="B597" s="24"/>
      <c r="C597" s="62"/>
      <c r="D597" s="62"/>
      <c r="E597" s="62"/>
      <c r="F597" s="62"/>
    </row>
    <row r="598">
      <c r="A598" s="24"/>
      <c r="B598" s="24"/>
      <c r="C598" s="62"/>
      <c r="D598" s="62"/>
      <c r="E598" s="62"/>
      <c r="F598" s="62"/>
    </row>
    <row r="599">
      <c r="A599" s="24"/>
      <c r="B599" s="24"/>
      <c r="C599" s="62"/>
      <c r="D599" s="62"/>
      <c r="E599" s="62"/>
      <c r="F599" s="62"/>
    </row>
    <row r="600">
      <c r="A600" s="24"/>
      <c r="B600" s="24"/>
      <c r="C600" s="62"/>
      <c r="D600" s="62"/>
      <c r="E600" s="62"/>
      <c r="F600" s="62"/>
    </row>
    <row r="601">
      <c r="A601" s="24"/>
      <c r="B601" s="24"/>
      <c r="C601" s="62"/>
      <c r="D601" s="62"/>
      <c r="E601" s="62"/>
      <c r="F601" s="62"/>
    </row>
    <row r="602">
      <c r="A602" s="24"/>
      <c r="B602" s="24"/>
      <c r="C602" s="62"/>
      <c r="D602" s="62"/>
      <c r="E602" s="62"/>
      <c r="F602" s="62"/>
    </row>
    <row r="603">
      <c r="A603" s="24"/>
      <c r="B603" s="24"/>
      <c r="C603" s="62"/>
      <c r="D603" s="62"/>
      <c r="E603" s="62"/>
      <c r="F603" s="62"/>
    </row>
    <row r="604">
      <c r="A604" s="24"/>
      <c r="B604" s="24"/>
      <c r="C604" s="62"/>
      <c r="D604" s="62"/>
      <c r="E604" s="62"/>
      <c r="F604" s="62"/>
    </row>
    <row r="605">
      <c r="A605" s="24"/>
      <c r="B605" s="24"/>
      <c r="C605" s="62"/>
      <c r="D605" s="62"/>
      <c r="E605" s="62"/>
      <c r="F605" s="62"/>
    </row>
    <row r="606">
      <c r="A606" s="24"/>
      <c r="B606" s="24"/>
      <c r="C606" s="62"/>
      <c r="D606" s="62"/>
      <c r="E606" s="62"/>
      <c r="F606" s="62"/>
    </row>
    <row r="607">
      <c r="A607" s="24"/>
      <c r="B607" s="24"/>
      <c r="C607" s="62"/>
      <c r="D607" s="62"/>
      <c r="E607" s="62"/>
      <c r="F607" s="62"/>
    </row>
    <row r="608">
      <c r="A608" s="24"/>
      <c r="B608" s="24"/>
      <c r="C608" s="62"/>
      <c r="D608" s="62"/>
      <c r="E608" s="62"/>
      <c r="F608" s="62"/>
    </row>
    <row r="609">
      <c r="A609" s="24"/>
      <c r="B609" s="24"/>
      <c r="C609" s="62"/>
      <c r="D609" s="62"/>
      <c r="E609" s="62"/>
      <c r="F609" s="62"/>
    </row>
    <row r="610">
      <c r="A610" s="24"/>
      <c r="B610" s="24"/>
      <c r="C610" s="62"/>
      <c r="D610" s="62"/>
      <c r="E610" s="62"/>
      <c r="F610" s="62"/>
    </row>
    <row r="611">
      <c r="A611" s="24"/>
      <c r="B611" s="24"/>
      <c r="C611" s="62"/>
      <c r="D611" s="62"/>
      <c r="E611" s="62"/>
      <c r="F611" s="62"/>
    </row>
    <row r="612">
      <c r="A612" s="24"/>
      <c r="B612" s="24"/>
      <c r="C612" s="62"/>
      <c r="D612" s="62"/>
      <c r="E612" s="62"/>
      <c r="F612" s="62"/>
    </row>
    <row r="613">
      <c r="A613" s="24"/>
      <c r="B613" s="24"/>
      <c r="C613" s="62"/>
      <c r="D613" s="62"/>
      <c r="E613" s="62"/>
      <c r="F613" s="62"/>
    </row>
    <row r="614">
      <c r="A614" s="24"/>
      <c r="B614" s="24"/>
      <c r="C614" s="62"/>
      <c r="D614" s="62"/>
      <c r="E614" s="62"/>
      <c r="F614" s="62"/>
    </row>
    <row r="615">
      <c r="A615" s="24"/>
      <c r="B615" s="24"/>
      <c r="C615" s="62"/>
      <c r="D615" s="62"/>
      <c r="E615" s="62"/>
      <c r="F615" s="62"/>
    </row>
    <row r="616">
      <c r="A616" s="24"/>
      <c r="B616" s="24"/>
      <c r="C616" s="62"/>
      <c r="D616" s="62"/>
      <c r="E616" s="62"/>
      <c r="F616" s="62"/>
    </row>
    <row r="617">
      <c r="A617" s="24"/>
      <c r="B617" s="24"/>
      <c r="C617" s="62"/>
      <c r="D617" s="62"/>
      <c r="E617" s="62"/>
      <c r="F617" s="62"/>
    </row>
    <row r="618">
      <c r="A618" s="24"/>
      <c r="B618" s="24"/>
      <c r="C618" s="62"/>
      <c r="D618" s="62"/>
      <c r="E618" s="62"/>
      <c r="F618" s="62"/>
    </row>
    <row r="619">
      <c r="A619" s="24"/>
      <c r="B619" s="24"/>
      <c r="C619" s="62"/>
      <c r="D619" s="62"/>
      <c r="E619" s="62"/>
      <c r="F619" s="62"/>
    </row>
    <row r="620">
      <c r="A620" s="24"/>
      <c r="B620" s="24"/>
      <c r="C620" s="62"/>
      <c r="D620" s="62"/>
      <c r="E620" s="62"/>
      <c r="F620" s="62"/>
    </row>
    <row r="621">
      <c r="A621" s="24"/>
      <c r="B621" s="24"/>
      <c r="C621" s="62"/>
      <c r="D621" s="62"/>
      <c r="E621" s="62"/>
      <c r="F621" s="62"/>
    </row>
    <row r="622">
      <c r="A622" s="24"/>
      <c r="B622" s="24"/>
      <c r="C622" s="62"/>
      <c r="D622" s="62"/>
      <c r="E622" s="62"/>
      <c r="F622" s="62"/>
    </row>
    <row r="623">
      <c r="A623" s="24"/>
      <c r="B623" s="24"/>
      <c r="C623" s="62"/>
      <c r="D623" s="62"/>
      <c r="E623" s="62"/>
      <c r="F623" s="62"/>
    </row>
    <row r="624">
      <c r="A624" s="24"/>
      <c r="B624" s="24"/>
      <c r="C624" s="62"/>
      <c r="D624" s="62"/>
      <c r="E624" s="62"/>
      <c r="F624" s="62"/>
    </row>
    <row r="625">
      <c r="A625" s="24"/>
      <c r="B625" s="24"/>
      <c r="C625" s="62"/>
      <c r="D625" s="62"/>
      <c r="E625" s="62"/>
      <c r="F625" s="62"/>
    </row>
    <row r="626">
      <c r="A626" s="24"/>
      <c r="B626" s="24"/>
      <c r="C626" s="62"/>
      <c r="D626" s="62"/>
      <c r="E626" s="62"/>
      <c r="F626" s="62"/>
    </row>
    <row r="627">
      <c r="A627" s="24"/>
      <c r="B627" s="24"/>
      <c r="C627" s="62"/>
      <c r="D627" s="62"/>
      <c r="E627" s="62"/>
      <c r="F627" s="62"/>
    </row>
    <row r="628">
      <c r="A628" s="24"/>
      <c r="B628" s="24"/>
      <c r="C628" s="62"/>
      <c r="D628" s="62"/>
      <c r="E628" s="62"/>
      <c r="F628" s="62"/>
    </row>
    <row r="629">
      <c r="A629" s="24"/>
      <c r="B629" s="24"/>
      <c r="C629" s="62"/>
      <c r="D629" s="62"/>
      <c r="E629" s="62"/>
      <c r="F629" s="62"/>
    </row>
    <row r="630">
      <c r="A630" s="24"/>
      <c r="B630" s="24"/>
      <c r="C630" s="62"/>
      <c r="D630" s="62"/>
      <c r="E630" s="62"/>
      <c r="F630" s="62"/>
    </row>
    <row r="631">
      <c r="A631" s="24"/>
      <c r="B631" s="24"/>
      <c r="C631" s="62"/>
      <c r="D631" s="62"/>
      <c r="E631" s="62"/>
      <c r="F631" s="62"/>
    </row>
    <row r="632">
      <c r="A632" s="24"/>
      <c r="B632" s="24"/>
      <c r="C632" s="62"/>
      <c r="D632" s="62"/>
      <c r="E632" s="62"/>
      <c r="F632" s="62"/>
    </row>
    <row r="633">
      <c r="A633" s="24"/>
      <c r="B633" s="24"/>
      <c r="C633" s="62"/>
      <c r="D633" s="62"/>
      <c r="E633" s="62"/>
      <c r="F633" s="62"/>
    </row>
    <row r="634">
      <c r="A634" s="24"/>
      <c r="B634" s="24"/>
      <c r="C634" s="62"/>
      <c r="D634" s="62"/>
      <c r="E634" s="62"/>
      <c r="F634" s="62"/>
    </row>
    <row r="635">
      <c r="A635" s="24"/>
      <c r="B635" s="24"/>
      <c r="C635" s="62"/>
      <c r="D635" s="62"/>
      <c r="E635" s="62"/>
      <c r="F635" s="62"/>
    </row>
    <row r="636">
      <c r="A636" s="24"/>
      <c r="B636" s="24"/>
      <c r="C636" s="62"/>
      <c r="D636" s="62"/>
      <c r="E636" s="62"/>
      <c r="F636" s="62"/>
    </row>
    <row r="637">
      <c r="A637" s="24"/>
      <c r="B637" s="24"/>
      <c r="C637" s="62"/>
      <c r="D637" s="62"/>
      <c r="E637" s="62"/>
      <c r="F637" s="62"/>
    </row>
    <row r="638">
      <c r="A638" s="24"/>
      <c r="B638" s="24"/>
      <c r="C638" s="62"/>
      <c r="D638" s="62"/>
      <c r="E638" s="62"/>
      <c r="F638" s="62"/>
    </row>
    <row r="639">
      <c r="A639" s="24"/>
      <c r="B639" s="24"/>
      <c r="C639" s="62"/>
      <c r="D639" s="62"/>
      <c r="E639" s="62"/>
      <c r="F639" s="62"/>
    </row>
    <row r="640">
      <c r="A640" s="24"/>
      <c r="B640" s="24"/>
      <c r="C640" s="62"/>
      <c r="D640" s="62"/>
      <c r="E640" s="62"/>
      <c r="F640" s="62"/>
    </row>
    <row r="641">
      <c r="A641" s="24"/>
      <c r="B641" s="24"/>
      <c r="C641" s="62"/>
      <c r="D641" s="62"/>
      <c r="E641" s="62"/>
      <c r="F641" s="62"/>
    </row>
    <row r="642">
      <c r="A642" s="24"/>
      <c r="B642" s="24"/>
      <c r="C642" s="62"/>
      <c r="D642" s="62"/>
      <c r="E642" s="62"/>
      <c r="F642" s="62"/>
    </row>
    <row r="643">
      <c r="A643" s="24"/>
      <c r="B643" s="24"/>
      <c r="C643" s="62"/>
      <c r="D643" s="62"/>
      <c r="E643" s="62"/>
      <c r="F643" s="62"/>
    </row>
    <row r="644">
      <c r="A644" s="24"/>
      <c r="B644" s="24"/>
      <c r="C644" s="62"/>
      <c r="D644" s="62"/>
      <c r="E644" s="62"/>
      <c r="F644" s="62"/>
    </row>
    <row r="645">
      <c r="A645" s="24"/>
      <c r="B645" s="24"/>
      <c r="C645" s="62"/>
      <c r="D645" s="62"/>
      <c r="E645" s="62"/>
      <c r="F645" s="62"/>
    </row>
    <row r="646">
      <c r="A646" s="24"/>
      <c r="B646" s="24"/>
      <c r="C646" s="62"/>
      <c r="D646" s="62"/>
      <c r="E646" s="62"/>
      <c r="F646" s="62"/>
    </row>
    <row r="647">
      <c r="A647" s="24"/>
      <c r="B647" s="24"/>
      <c r="C647" s="62"/>
      <c r="D647" s="62"/>
      <c r="E647" s="62"/>
      <c r="F647" s="62"/>
    </row>
    <row r="648">
      <c r="A648" s="24"/>
      <c r="B648" s="24"/>
      <c r="C648" s="62"/>
      <c r="D648" s="62"/>
      <c r="E648" s="62"/>
      <c r="F648" s="62"/>
    </row>
    <row r="649">
      <c r="A649" s="24"/>
      <c r="B649" s="24"/>
      <c r="C649" s="62"/>
      <c r="D649" s="62"/>
      <c r="E649" s="62"/>
      <c r="F649" s="62"/>
    </row>
    <row r="650">
      <c r="A650" s="24"/>
      <c r="B650" s="24"/>
      <c r="C650" s="62"/>
      <c r="D650" s="62"/>
      <c r="E650" s="62"/>
      <c r="F650" s="62"/>
    </row>
    <row r="651">
      <c r="A651" s="24"/>
      <c r="B651" s="24"/>
      <c r="C651" s="62"/>
      <c r="D651" s="62"/>
      <c r="E651" s="62"/>
      <c r="F651" s="62"/>
    </row>
    <row r="652">
      <c r="A652" s="24"/>
      <c r="B652" s="24"/>
      <c r="C652" s="62"/>
      <c r="D652" s="62"/>
      <c r="E652" s="62"/>
      <c r="F652" s="62"/>
    </row>
    <row r="653">
      <c r="A653" s="24"/>
      <c r="B653" s="24"/>
      <c r="C653" s="62"/>
      <c r="D653" s="62"/>
      <c r="E653" s="62"/>
      <c r="F653" s="62"/>
    </row>
    <row r="654">
      <c r="A654" s="24"/>
      <c r="B654" s="24"/>
      <c r="C654" s="62"/>
      <c r="D654" s="62"/>
      <c r="E654" s="62"/>
      <c r="F654" s="62"/>
    </row>
    <row r="655">
      <c r="A655" s="24"/>
      <c r="B655" s="24"/>
      <c r="C655" s="62"/>
      <c r="D655" s="62"/>
      <c r="E655" s="62"/>
      <c r="F655" s="62"/>
    </row>
    <row r="656">
      <c r="A656" s="24"/>
      <c r="B656" s="24"/>
      <c r="C656" s="62"/>
      <c r="D656" s="62"/>
      <c r="E656" s="62"/>
      <c r="F656" s="62"/>
    </row>
    <row r="657">
      <c r="A657" s="24"/>
      <c r="B657" s="24"/>
      <c r="C657" s="62"/>
      <c r="D657" s="62"/>
      <c r="E657" s="62"/>
      <c r="F657" s="62"/>
    </row>
    <row r="658">
      <c r="A658" s="24"/>
      <c r="B658" s="24"/>
      <c r="C658" s="62"/>
      <c r="D658" s="62"/>
      <c r="E658" s="62"/>
      <c r="F658" s="62"/>
    </row>
    <row r="659">
      <c r="A659" s="24"/>
      <c r="B659" s="24"/>
      <c r="C659" s="62"/>
      <c r="D659" s="62"/>
      <c r="E659" s="62"/>
      <c r="F659" s="62"/>
    </row>
    <row r="660">
      <c r="A660" s="24"/>
      <c r="B660" s="24"/>
      <c r="C660" s="62"/>
      <c r="D660" s="62"/>
      <c r="E660" s="62"/>
      <c r="F660" s="62"/>
    </row>
    <row r="661">
      <c r="A661" s="24"/>
      <c r="B661" s="24"/>
      <c r="C661" s="62"/>
      <c r="D661" s="62"/>
      <c r="E661" s="62"/>
      <c r="F661" s="62"/>
    </row>
    <row r="662">
      <c r="A662" s="24"/>
      <c r="B662" s="24"/>
      <c r="C662" s="62"/>
      <c r="D662" s="62"/>
      <c r="E662" s="62"/>
      <c r="F662" s="62"/>
    </row>
    <row r="663">
      <c r="A663" s="24"/>
      <c r="B663" s="24"/>
      <c r="C663" s="62"/>
      <c r="D663" s="62"/>
      <c r="E663" s="62"/>
      <c r="F663" s="62"/>
    </row>
    <row r="664">
      <c r="A664" s="24"/>
      <c r="B664" s="24"/>
      <c r="C664" s="62"/>
      <c r="D664" s="62"/>
      <c r="E664" s="62"/>
      <c r="F664" s="62"/>
    </row>
    <row r="665">
      <c r="A665" s="24"/>
      <c r="B665" s="24"/>
      <c r="C665" s="62"/>
      <c r="D665" s="62"/>
      <c r="E665" s="62"/>
      <c r="F665" s="62"/>
    </row>
    <row r="666">
      <c r="A666" s="24"/>
      <c r="B666" s="24"/>
      <c r="C666" s="62"/>
      <c r="D666" s="62"/>
      <c r="E666" s="62"/>
      <c r="F666" s="62"/>
    </row>
    <row r="667">
      <c r="A667" s="24"/>
      <c r="B667" s="24"/>
      <c r="C667" s="62"/>
      <c r="D667" s="62"/>
      <c r="E667" s="62"/>
      <c r="F667" s="62"/>
    </row>
    <row r="668">
      <c r="A668" s="24"/>
      <c r="B668" s="24"/>
      <c r="C668" s="62"/>
      <c r="D668" s="62"/>
      <c r="E668" s="62"/>
      <c r="F668" s="62"/>
    </row>
    <row r="669">
      <c r="A669" s="24"/>
      <c r="B669" s="24"/>
      <c r="C669" s="62"/>
      <c r="D669" s="62"/>
      <c r="E669" s="62"/>
      <c r="F669" s="62"/>
    </row>
    <row r="670">
      <c r="A670" s="24"/>
      <c r="B670" s="24"/>
      <c r="C670" s="62"/>
      <c r="D670" s="62"/>
      <c r="E670" s="62"/>
      <c r="F670" s="62"/>
    </row>
    <row r="671">
      <c r="A671" s="24"/>
      <c r="B671" s="24"/>
      <c r="C671" s="62"/>
      <c r="D671" s="62"/>
      <c r="E671" s="62"/>
      <c r="F671" s="62"/>
    </row>
    <row r="672">
      <c r="A672" s="24"/>
      <c r="B672" s="24"/>
      <c r="C672" s="62"/>
      <c r="D672" s="62"/>
      <c r="E672" s="62"/>
      <c r="F672" s="62"/>
    </row>
    <row r="673">
      <c r="A673" s="24"/>
      <c r="B673" s="24"/>
      <c r="C673" s="62"/>
      <c r="D673" s="62"/>
      <c r="E673" s="62"/>
      <c r="F673" s="62"/>
    </row>
    <row r="674">
      <c r="A674" s="24"/>
      <c r="B674" s="24"/>
      <c r="C674" s="62"/>
      <c r="D674" s="62"/>
      <c r="E674" s="62"/>
      <c r="F674" s="62"/>
    </row>
    <row r="675">
      <c r="A675" s="24"/>
      <c r="B675" s="24"/>
      <c r="C675" s="62"/>
      <c r="D675" s="62"/>
      <c r="E675" s="62"/>
      <c r="F675" s="62"/>
    </row>
    <row r="676">
      <c r="A676" s="24"/>
      <c r="B676" s="24"/>
      <c r="C676" s="62"/>
      <c r="D676" s="62"/>
      <c r="E676" s="62"/>
      <c r="F676" s="62"/>
    </row>
    <row r="677">
      <c r="A677" s="24"/>
      <c r="B677" s="24"/>
      <c r="C677" s="62"/>
      <c r="D677" s="62"/>
      <c r="E677" s="62"/>
      <c r="F677" s="62"/>
    </row>
    <row r="678">
      <c r="A678" s="24"/>
      <c r="B678" s="24"/>
      <c r="C678" s="62"/>
      <c r="D678" s="62"/>
      <c r="E678" s="62"/>
      <c r="F678" s="62"/>
    </row>
    <row r="679">
      <c r="A679" s="24"/>
      <c r="B679" s="24"/>
      <c r="C679" s="62"/>
      <c r="D679" s="62"/>
      <c r="E679" s="62"/>
      <c r="F679" s="62"/>
    </row>
    <row r="680">
      <c r="A680" s="24"/>
      <c r="B680" s="24"/>
      <c r="C680" s="62"/>
      <c r="D680" s="62"/>
      <c r="E680" s="62"/>
      <c r="F680" s="62"/>
    </row>
    <row r="681">
      <c r="A681" s="24"/>
      <c r="B681" s="24"/>
      <c r="C681" s="62"/>
      <c r="D681" s="62"/>
      <c r="E681" s="62"/>
      <c r="F681" s="62"/>
    </row>
    <row r="682">
      <c r="A682" s="24"/>
      <c r="B682" s="24"/>
      <c r="C682" s="62"/>
      <c r="D682" s="62"/>
      <c r="E682" s="62"/>
      <c r="F682" s="62"/>
    </row>
    <row r="683">
      <c r="A683" s="24"/>
      <c r="B683" s="24"/>
      <c r="C683" s="62"/>
      <c r="D683" s="62"/>
      <c r="E683" s="62"/>
      <c r="F683" s="62"/>
    </row>
    <row r="684">
      <c r="A684" s="24"/>
      <c r="B684" s="24"/>
      <c r="C684" s="62"/>
      <c r="D684" s="62"/>
      <c r="E684" s="62"/>
      <c r="F684" s="62"/>
    </row>
    <row r="685">
      <c r="A685" s="24"/>
      <c r="B685" s="24"/>
      <c r="C685" s="62"/>
      <c r="D685" s="62"/>
      <c r="E685" s="62"/>
      <c r="F685" s="62"/>
    </row>
    <row r="686">
      <c r="A686" s="24"/>
      <c r="B686" s="24"/>
      <c r="C686" s="62"/>
      <c r="D686" s="62"/>
      <c r="E686" s="62"/>
      <c r="F686" s="62"/>
    </row>
    <row r="687">
      <c r="A687" s="24"/>
      <c r="B687" s="24"/>
      <c r="C687" s="62"/>
      <c r="D687" s="62"/>
      <c r="E687" s="62"/>
      <c r="F687" s="62"/>
    </row>
    <row r="688">
      <c r="A688" s="24"/>
      <c r="B688" s="24"/>
      <c r="C688" s="62"/>
      <c r="D688" s="62"/>
      <c r="E688" s="62"/>
      <c r="F688" s="62"/>
    </row>
    <row r="689">
      <c r="A689" s="24"/>
      <c r="B689" s="24"/>
      <c r="C689" s="62"/>
      <c r="D689" s="62"/>
      <c r="E689" s="62"/>
      <c r="F689" s="62"/>
    </row>
    <row r="690">
      <c r="A690" s="24"/>
      <c r="B690" s="24"/>
      <c r="C690" s="62"/>
      <c r="D690" s="62"/>
      <c r="E690" s="62"/>
      <c r="F690" s="62"/>
    </row>
    <row r="691">
      <c r="A691" s="24"/>
      <c r="B691" s="24"/>
      <c r="C691" s="62"/>
      <c r="D691" s="62"/>
      <c r="E691" s="62"/>
      <c r="F691" s="62"/>
    </row>
    <row r="692">
      <c r="A692" s="24"/>
      <c r="B692" s="24"/>
      <c r="C692" s="62"/>
      <c r="D692" s="62"/>
      <c r="E692" s="62"/>
      <c r="F692" s="62"/>
    </row>
    <row r="693">
      <c r="A693" s="24"/>
      <c r="B693" s="24"/>
      <c r="C693" s="62"/>
      <c r="D693" s="62"/>
      <c r="E693" s="62"/>
      <c r="F693" s="62"/>
    </row>
    <row r="694">
      <c r="A694" s="24"/>
      <c r="B694" s="24"/>
      <c r="C694" s="62"/>
      <c r="D694" s="62"/>
      <c r="E694" s="62"/>
      <c r="F694" s="62"/>
    </row>
    <row r="695">
      <c r="A695" s="24"/>
      <c r="B695" s="24"/>
      <c r="C695" s="62"/>
      <c r="D695" s="62"/>
      <c r="E695" s="62"/>
      <c r="F695" s="62"/>
    </row>
    <row r="696">
      <c r="A696" s="24"/>
      <c r="B696" s="24"/>
      <c r="C696" s="62"/>
      <c r="D696" s="62"/>
      <c r="E696" s="62"/>
      <c r="F696" s="62"/>
    </row>
    <row r="697">
      <c r="A697" s="24"/>
      <c r="B697" s="24"/>
      <c r="C697" s="62"/>
      <c r="D697" s="62"/>
      <c r="E697" s="62"/>
      <c r="F697" s="62"/>
    </row>
    <row r="698">
      <c r="A698" s="24"/>
      <c r="B698" s="24"/>
      <c r="C698" s="62"/>
      <c r="D698" s="62"/>
      <c r="E698" s="62"/>
      <c r="F698" s="62"/>
    </row>
    <row r="699">
      <c r="A699" s="24"/>
      <c r="B699" s="24"/>
      <c r="C699" s="62"/>
      <c r="D699" s="62"/>
      <c r="E699" s="62"/>
      <c r="F699" s="62"/>
    </row>
    <row r="700">
      <c r="A700" s="24"/>
      <c r="B700" s="24"/>
      <c r="C700" s="62"/>
      <c r="D700" s="62"/>
      <c r="E700" s="62"/>
      <c r="F700" s="62"/>
    </row>
    <row r="701">
      <c r="A701" s="24"/>
      <c r="B701" s="24"/>
      <c r="C701" s="62"/>
      <c r="D701" s="62"/>
      <c r="E701" s="62"/>
      <c r="F701" s="62"/>
    </row>
    <row r="702">
      <c r="A702" s="24"/>
      <c r="B702" s="24"/>
      <c r="C702" s="62"/>
      <c r="D702" s="62"/>
      <c r="E702" s="62"/>
      <c r="F702" s="62"/>
    </row>
    <row r="703">
      <c r="A703" s="24"/>
      <c r="B703" s="24"/>
      <c r="C703" s="62"/>
      <c r="D703" s="62"/>
      <c r="E703" s="62"/>
      <c r="F703" s="62"/>
    </row>
    <row r="704">
      <c r="A704" s="24"/>
      <c r="B704" s="24"/>
      <c r="C704" s="62"/>
      <c r="D704" s="62"/>
      <c r="E704" s="62"/>
      <c r="F704" s="62"/>
    </row>
    <row r="705">
      <c r="A705" s="24"/>
      <c r="B705" s="24"/>
      <c r="C705" s="62"/>
      <c r="D705" s="62"/>
      <c r="E705" s="62"/>
      <c r="F705" s="62"/>
    </row>
    <row r="706">
      <c r="A706" s="24"/>
      <c r="B706" s="24"/>
      <c r="C706" s="62"/>
      <c r="D706" s="62"/>
      <c r="E706" s="62"/>
      <c r="F706" s="62"/>
    </row>
    <row r="707">
      <c r="A707" s="24"/>
      <c r="B707" s="24"/>
      <c r="C707" s="62"/>
      <c r="D707" s="62"/>
      <c r="E707" s="62"/>
      <c r="F707" s="62"/>
    </row>
    <row r="708">
      <c r="A708" s="24"/>
      <c r="B708" s="24"/>
      <c r="C708" s="62"/>
      <c r="D708" s="62"/>
      <c r="E708" s="62"/>
      <c r="F708" s="62"/>
    </row>
    <row r="709">
      <c r="A709" s="24"/>
      <c r="B709" s="24"/>
      <c r="C709" s="62"/>
      <c r="D709" s="62"/>
      <c r="E709" s="62"/>
      <c r="F709" s="62"/>
    </row>
    <row r="710">
      <c r="A710" s="24"/>
      <c r="B710" s="24"/>
      <c r="C710" s="62"/>
      <c r="D710" s="62"/>
      <c r="E710" s="62"/>
      <c r="F710" s="62"/>
    </row>
    <row r="711">
      <c r="A711" s="24"/>
      <c r="B711" s="24"/>
      <c r="C711" s="62"/>
      <c r="D711" s="62"/>
      <c r="E711" s="62"/>
      <c r="F711" s="62"/>
    </row>
    <row r="712">
      <c r="A712" s="24"/>
      <c r="B712" s="24"/>
      <c r="C712" s="62"/>
      <c r="D712" s="62"/>
      <c r="E712" s="62"/>
      <c r="F712" s="62"/>
    </row>
    <row r="713">
      <c r="A713" s="24"/>
      <c r="B713" s="24"/>
      <c r="C713" s="62"/>
      <c r="D713" s="62"/>
      <c r="E713" s="62"/>
      <c r="F713" s="62"/>
    </row>
    <row r="714">
      <c r="A714" s="24"/>
      <c r="B714" s="24"/>
      <c r="C714" s="62"/>
      <c r="D714" s="62"/>
      <c r="E714" s="62"/>
      <c r="F714" s="62"/>
    </row>
    <row r="715">
      <c r="A715" s="24"/>
      <c r="B715" s="24"/>
      <c r="C715" s="62"/>
      <c r="D715" s="62"/>
      <c r="E715" s="62"/>
      <c r="F715" s="62"/>
    </row>
    <row r="716">
      <c r="A716" s="24"/>
      <c r="B716" s="24"/>
      <c r="C716" s="62"/>
      <c r="D716" s="62"/>
      <c r="E716" s="62"/>
      <c r="F716" s="62"/>
    </row>
    <row r="717">
      <c r="A717" s="24"/>
      <c r="B717" s="24"/>
      <c r="C717" s="62"/>
      <c r="D717" s="62"/>
      <c r="E717" s="62"/>
      <c r="F717" s="62"/>
    </row>
    <row r="718">
      <c r="A718" s="24"/>
      <c r="B718" s="24"/>
      <c r="C718" s="62"/>
      <c r="D718" s="62"/>
      <c r="E718" s="62"/>
      <c r="F718" s="62"/>
    </row>
    <row r="719">
      <c r="A719" s="24"/>
      <c r="B719" s="24"/>
      <c r="C719" s="62"/>
      <c r="D719" s="62"/>
      <c r="E719" s="62"/>
      <c r="F719" s="62"/>
    </row>
    <row r="720">
      <c r="A720" s="24"/>
      <c r="B720" s="24"/>
      <c r="C720" s="62"/>
      <c r="D720" s="62"/>
      <c r="E720" s="62"/>
      <c r="F720" s="62"/>
    </row>
    <row r="721">
      <c r="A721" s="24"/>
      <c r="B721" s="24"/>
      <c r="C721" s="62"/>
      <c r="D721" s="62"/>
      <c r="E721" s="62"/>
      <c r="F721" s="62"/>
    </row>
    <row r="722">
      <c r="A722" s="24"/>
      <c r="B722" s="24"/>
      <c r="C722" s="62"/>
      <c r="D722" s="62"/>
      <c r="E722" s="62"/>
      <c r="F722" s="62"/>
    </row>
    <row r="723">
      <c r="A723" s="24"/>
      <c r="B723" s="24"/>
      <c r="C723" s="62"/>
      <c r="D723" s="62"/>
      <c r="E723" s="62"/>
      <c r="F723" s="62"/>
    </row>
    <row r="724">
      <c r="A724" s="24"/>
      <c r="B724" s="24"/>
      <c r="C724" s="62"/>
      <c r="D724" s="62"/>
      <c r="E724" s="62"/>
      <c r="F724" s="62"/>
    </row>
    <row r="725">
      <c r="A725" s="24"/>
      <c r="B725" s="24"/>
      <c r="C725" s="62"/>
      <c r="D725" s="62"/>
      <c r="E725" s="62"/>
      <c r="F725" s="62"/>
    </row>
    <row r="726">
      <c r="A726" s="24"/>
      <c r="B726" s="24"/>
      <c r="C726" s="62"/>
      <c r="D726" s="62"/>
      <c r="E726" s="62"/>
      <c r="F726" s="62"/>
    </row>
    <row r="727">
      <c r="A727" s="24"/>
      <c r="B727" s="24"/>
      <c r="C727" s="62"/>
      <c r="D727" s="62"/>
      <c r="E727" s="62"/>
      <c r="F727" s="62"/>
    </row>
    <row r="728">
      <c r="A728" s="24"/>
      <c r="B728" s="24"/>
      <c r="C728" s="62"/>
      <c r="D728" s="62"/>
      <c r="E728" s="62"/>
      <c r="F728" s="62"/>
    </row>
    <row r="729">
      <c r="A729" s="24"/>
      <c r="B729" s="24"/>
      <c r="C729" s="62"/>
      <c r="D729" s="62"/>
      <c r="E729" s="62"/>
      <c r="F729" s="62"/>
    </row>
    <row r="730">
      <c r="A730" s="24"/>
      <c r="B730" s="24"/>
      <c r="C730" s="62"/>
      <c r="D730" s="62"/>
      <c r="E730" s="62"/>
      <c r="F730" s="62"/>
    </row>
    <row r="731">
      <c r="A731" s="24"/>
      <c r="B731" s="24"/>
      <c r="C731" s="62"/>
      <c r="D731" s="62"/>
      <c r="E731" s="62"/>
      <c r="F731" s="62"/>
    </row>
    <row r="732">
      <c r="A732" s="24"/>
      <c r="B732" s="24"/>
      <c r="C732" s="62"/>
      <c r="D732" s="62"/>
      <c r="E732" s="62"/>
      <c r="F732" s="62"/>
    </row>
    <row r="733">
      <c r="A733" s="24"/>
      <c r="B733" s="24"/>
      <c r="C733" s="62"/>
      <c r="D733" s="62"/>
      <c r="E733" s="62"/>
      <c r="F733" s="62"/>
    </row>
    <row r="734">
      <c r="A734" s="24"/>
      <c r="B734" s="24"/>
      <c r="C734" s="62"/>
      <c r="D734" s="62"/>
      <c r="E734" s="62"/>
      <c r="F734" s="62"/>
    </row>
    <row r="735">
      <c r="A735" s="24"/>
      <c r="B735" s="24"/>
      <c r="C735" s="62"/>
      <c r="D735" s="62"/>
      <c r="E735" s="62"/>
      <c r="F735" s="62"/>
    </row>
    <row r="736">
      <c r="A736" s="24"/>
      <c r="B736" s="24"/>
      <c r="C736" s="62"/>
      <c r="D736" s="62"/>
      <c r="E736" s="62"/>
      <c r="F736" s="62"/>
    </row>
    <row r="737">
      <c r="A737" s="24"/>
      <c r="B737" s="24"/>
      <c r="C737" s="62"/>
      <c r="D737" s="62"/>
      <c r="E737" s="62"/>
      <c r="F737" s="62"/>
    </row>
    <row r="738">
      <c r="A738" s="24"/>
      <c r="B738" s="24"/>
      <c r="C738" s="62"/>
      <c r="D738" s="62"/>
      <c r="E738" s="62"/>
      <c r="F738" s="62"/>
    </row>
    <row r="739">
      <c r="A739" s="24"/>
      <c r="B739" s="24"/>
      <c r="C739" s="62"/>
      <c r="D739" s="62"/>
      <c r="E739" s="62"/>
      <c r="F739" s="62"/>
    </row>
    <row r="740">
      <c r="A740" s="24"/>
      <c r="B740" s="24"/>
      <c r="C740" s="62"/>
      <c r="D740" s="62"/>
      <c r="E740" s="62"/>
      <c r="F740" s="62"/>
    </row>
    <row r="741">
      <c r="A741" s="24"/>
      <c r="B741" s="24"/>
      <c r="C741" s="62"/>
      <c r="D741" s="62"/>
      <c r="E741" s="62"/>
      <c r="F741" s="62"/>
    </row>
    <row r="742">
      <c r="A742" s="24"/>
      <c r="B742" s="24"/>
      <c r="C742" s="62"/>
      <c r="D742" s="62"/>
      <c r="E742" s="62"/>
      <c r="F742" s="62"/>
    </row>
    <row r="743">
      <c r="A743" s="24"/>
      <c r="B743" s="24"/>
      <c r="C743" s="62"/>
      <c r="D743" s="62"/>
      <c r="E743" s="62"/>
      <c r="F743" s="62"/>
    </row>
    <row r="744">
      <c r="A744" s="24"/>
      <c r="B744" s="24"/>
      <c r="C744" s="62"/>
      <c r="D744" s="62"/>
      <c r="E744" s="62"/>
      <c r="F744" s="62"/>
    </row>
    <row r="745">
      <c r="A745" s="24"/>
      <c r="B745" s="24"/>
      <c r="C745" s="62"/>
      <c r="D745" s="62"/>
      <c r="E745" s="62"/>
      <c r="F745" s="62"/>
    </row>
    <row r="746">
      <c r="A746" s="24"/>
      <c r="B746" s="24"/>
      <c r="C746" s="62"/>
      <c r="D746" s="62"/>
      <c r="E746" s="62"/>
      <c r="F746" s="62"/>
    </row>
    <row r="747">
      <c r="A747" s="24"/>
      <c r="B747" s="24"/>
      <c r="C747" s="62"/>
      <c r="D747" s="62"/>
      <c r="E747" s="62"/>
      <c r="F747" s="62"/>
    </row>
    <row r="748">
      <c r="A748" s="24"/>
      <c r="B748" s="24"/>
      <c r="C748" s="62"/>
      <c r="D748" s="62"/>
      <c r="E748" s="62"/>
      <c r="F748" s="62"/>
    </row>
    <row r="749">
      <c r="A749" s="24"/>
      <c r="B749" s="24"/>
      <c r="C749" s="62"/>
      <c r="D749" s="62"/>
      <c r="E749" s="62"/>
      <c r="F749" s="62"/>
    </row>
    <row r="750">
      <c r="A750" s="24"/>
      <c r="B750" s="24"/>
      <c r="C750" s="62"/>
      <c r="D750" s="62"/>
      <c r="E750" s="62"/>
      <c r="F750" s="62"/>
    </row>
    <row r="751">
      <c r="A751" s="24"/>
      <c r="B751" s="24"/>
      <c r="C751" s="62"/>
      <c r="D751" s="62"/>
      <c r="E751" s="62"/>
      <c r="F751" s="62"/>
    </row>
    <row r="752">
      <c r="A752" s="24"/>
      <c r="B752" s="24"/>
      <c r="C752" s="62"/>
      <c r="D752" s="62"/>
      <c r="E752" s="62"/>
      <c r="F752" s="62"/>
    </row>
    <row r="753">
      <c r="A753" s="24"/>
      <c r="B753" s="24"/>
      <c r="C753" s="62"/>
      <c r="D753" s="62"/>
      <c r="E753" s="62"/>
      <c r="F753" s="62"/>
    </row>
    <row r="754">
      <c r="A754" s="24"/>
      <c r="B754" s="24"/>
      <c r="C754" s="62"/>
      <c r="D754" s="62"/>
      <c r="E754" s="62"/>
      <c r="F754" s="62"/>
    </row>
    <row r="755">
      <c r="A755" s="24"/>
      <c r="B755" s="24"/>
      <c r="C755" s="62"/>
      <c r="D755" s="62"/>
      <c r="E755" s="62"/>
      <c r="F755" s="62"/>
    </row>
    <row r="756">
      <c r="A756" s="24"/>
      <c r="B756" s="24"/>
      <c r="C756" s="62"/>
      <c r="D756" s="62"/>
      <c r="E756" s="62"/>
      <c r="F756" s="62"/>
    </row>
    <row r="757">
      <c r="A757" s="24"/>
      <c r="B757" s="24"/>
      <c r="C757" s="62"/>
      <c r="D757" s="62"/>
      <c r="E757" s="62"/>
      <c r="F757" s="62"/>
    </row>
    <row r="758">
      <c r="A758" s="24"/>
      <c r="B758" s="24"/>
      <c r="C758" s="62"/>
      <c r="D758" s="62"/>
      <c r="E758" s="62"/>
      <c r="F758" s="62"/>
    </row>
    <row r="759">
      <c r="A759" s="24"/>
      <c r="B759" s="24"/>
      <c r="C759" s="62"/>
      <c r="D759" s="62"/>
      <c r="E759" s="62"/>
      <c r="F759" s="62"/>
    </row>
    <row r="760">
      <c r="A760" s="24"/>
      <c r="B760" s="24"/>
      <c r="C760" s="62"/>
      <c r="D760" s="62"/>
      <c r="E760" s="62"/>
      <c r="F760" s="62"/>
    </row>
    <row r="761">
      <c r="A761" s="24"/>
      <c r="B761" s="24"/>
      <c r="C761" s="62"/>
      <c r="D761" s="62"/>
      <c r="E761" s="62"/>
      <c r="F761" s="62"/>
    </row>
    <row r="762">
      <c r="A762" s="24"/>
      <c r="B762" s="24"/>
      <c r="C762" s="62"/>
      <c r="D762" s="62"/>
      <c r="E762" s="62"/>
      <c r="F762" s="62"/>
    </row>
    <row r="763">
      <c r="A763" s="24"/>
      <c r="B763" s="24"/>
      <c r="C763" s="62"/>
      <c r="D763" s="62"/>
      <c r="E763" s="62"/>
      <c r="F763" s="62"/>
    </row>
    <row r="764">
      <c r="A764" s="24"/>
      <c r="B764" s="24"/>
      <c r="C764" s="62"/>
      <c r="D764" s="62"/>
      <c r="E764" s="62"/>
      <c r="F764" s="62"/>
    </row>
    <row r="765">
      <c r="A765" s="24"/>
      <c r="B765" s="24"/>
      <c r="C765" s="62"/>
      <c r="D765" s="62"/>
      <c r="E765" s="62"/>
      <c r="F765" s="62"/>
    </row>
    <row r="766">
      <c r="A766" s="24"/>
      <c r="B766" s="24"/>
      <c r="C766" s="62"/>
      <c r="D766" s="62"/>
      <c r="E766" s="62"/>
      <c r="F766" s="62"/>
    </row>
    <row r="767">
      <c r="A767" s="24"/>
      <c r="B767" s="24"/>
      <c r="C767" s="62"/>
      <c r="D767" s="62"/>
      <c r="E767" s="62"/>
      <c r="F767" s="62"/>
    </row>
    <row r="768">
      <c r="A768" s="24"/>
      <c r="B768" s="24"/>
      <c r="C768" s="62"/>
      <c r="D768" s="62"/>
      <c r="E768" s="62"/>
      <c r="F768" s="62"/>
    </row>
    <row r="769">
      <c r="A769" s="24"/>
      <c r="B769" s="24"/>
      <c r="C769" s="62"/>
      <c r="D769" s="62"/>
      <c r="E769" s="62"/>
      <c r="F769" s="62"/>
    </row>
    <row r="770">
      <c r="A770" s="24"/>
      <c r="B770" s="24"/>
      <c r="C770" s="62"/>
      <c r="D770" s="62"/>
      <c r="E770" s="62"/>
      <c r="F770" s="62"/>
    </row>
    <row r="771">
      <c r="A771" s="24"/>
      <c r="B771" s="24"/>
      <c r="C771" s="62"/>
      <c r="D771" s="62"/>
      <c r="E771" s="62"/>
      <c r="F771" s="62"/>
    </row>
    <row r="772">
      <c r="A772" s="24"/>
      <c r="B772" s="24"/>
      <c r="C772" s="62"/>
      <c r="D772" s="62"/>
      <c r="E772" s="62"/>
      <c r="F772" s="62"/>
    </row>
    <row r="773">
      <c r="A773" s="24"/>
      <c r="B773" s="24"/>
      <c r="C773" s="62"/>
      <c r="D773" s="62"/>
      <c r="E773" s="62"/>
      <c r="F773" s="62"/>
    </row>
    <row r="774">
      <c r="A774" s="24"/>
      <c r="B774" s="24"/>
      <c r="C774" s="62"/>
      <c r="D774" s="62"/>
      <c r="E774" s="62"/>
      <c r="F774" s="62"/>
    </row>
    <row r="775">
      <c r="A775" s="24"/>
      <c r="B775" s="24"/>
      <c r="C775" s="62"/>
      <c r="D775" s="62"/>
      <c r="E775" s="62"/>
      <c r="F775" s="62"/>
    </row>
    <row r="776">
      <c r="A776" s="24"/>
      <c r="B776" s="24"/>
      <c r="C776" s="62"/>
      <c r="D776" s="62"/>
      <c r="E776" s="62"/>
      <c r="F776" s="62"/>
    </row>
    <row r="777">
      <c r="A777" s="24"/>
      <c r="B777" s="24"/>
      <c r="C777" s="62"/>
      <c r="D777" s="62"/>
      <c r="E777" s="62"/>
      <c r="F777" s="62"/>
    </row>
    <row r="778">
      <c r="A778" s="24"/>
      <c r="B778" s="24"/>
      <c r="C778" s="62"/>
      <c r="D778" s="62"/>
      <c r="E778" s="62"/>
      <c r="F778" s="62"/>
    </row>
    <row r="779">
      <c r="A779" s="24"/>
      <c r="B779" s="24"/>
      <c r="C779" s="62"/>
      <c r="D779" s="62"/>
      <c r="E779" s="62"/>
      <c r="F779" s="62"/>
    </row>
    <row r="780">
      <c r="A780" s="24"/>
      <c r="B780" s="24"/>
      <c r="C780" s="62"/>
      <c r="D780" s="62"/>
      <c r="E780" s="62"/>
      <c r="F780" s="62"/>
    </row>
    <row r="781">
      <c r="A781" s="24"/>
      <c r="B781" s="24"/>
      <c r="C781" s="62"/>
      <c r="D781" s="62"/>
      <c r="E781" s="62"/>
      <c r="F781" s="62"/>
    </row>
    <row r="782">
      <c r="A782" s="24"/>
      <c r="B782" s="24"/>
      <c r="C782" s="62"/>
      <c r="D782" s="62"/>
      <c r="E782" s="62"/>
      <c r="F782" s="62"/>
    </row>
    <row r="783">
      <c r="A783" s="24"/>
      <c r="B783" s="24"/>
      <c r="C783" s="62"/>
      <c r="D783" s="62"/>
      <c r="E783" s="62"/>
      <c r="F783" s="62"/>
    </row>
    <row r="784">
      <c r="A784" s="24"/>
      <c r="B784" s="24"/>
      <c r="C784" s="62"/>
      <c r="D784" s="62"/>
      <c r="E784" s="62"/>
      <c r="F784" s="62"/>
    </row>
    <row r="785">
      <c r="A785" s="24"/>
      <c r="B785" s="24"/>
      <c r="C785" s="62"/>
      <c r="D785" s="62"/>
      <c r="E785" s="62"/>
      <c r="F785" s="62"/>
    </row>
    <row r="786">
      <c r="A786" s="24"/>
      <c r="B786" s="24"/>
      <c r="C786" s="62"/>
      <c r="D786" s="62"/>
      <c r="E786" s="62"/>
      <c r="F786" s="62"/>
    </row>
    <row r="787">
      <c r="A787" s="24"/>
      <c r="B787" s="24"/>
      <c r="C787" s="62"/>
      <c r="D787" s="62"/>
      <c r="E787" s="62"/>
      <c r="F787" s="62"/>
    </row>
    <row r="788">
      <c r="A788" s="24"/>
      <c r="B788" s="24"/>
      <c r="C788" s="62"/>
      <c r="D788" s="62"/>
      <c r="E788" s="62"/>
      <c r="F788" s="62"/>
    </row>
    <row r="789">
      <c r="A789" s="24"/>
      <c r="B789" s="24"/>
      <c r="C789" s="62"/>
      <c r="D789" s="62"/>
      <c r="E789" s="62"/>
      <c r="F789" s="62"/>
    </row>
    <row r="790">
      <c r="A790" s="24"/>
      <c r="B790" s="24"/>
      <c r="C790" s="62"/>
      <c r="D790" s="62"/>
      <c r="E790" s="62"/>
      <c r="F790" s="62"/>
    </row>
    <row r="791">
      <c r="A791" s="24"/>
      <c r="B791" s="24"/>
      <c r="C791" s="62"/>
      <c r="D791" s="62"/>
      <c r="E791" s="62"/>
      <c r="F791" s="62"/>
    </row>
    <row r="792">
      <c r="A792" s="24"/>
      <c r="B792" s="24"/>
      <c r="C792" s="62"/>
      <c r="D792" s="62"/>
      <c r="E792" s="62"/>
      <c r="F792" s="62"/>
    </row>
    <row r="793">
      <c r="A793" s="24"/>
      <c r="B793" s="24"/>
      <c r="C793" s="62"/>
      <c r="D793" s="62"/>
      <c r="E793" s="62"/>
      <c r="F793" s="62"/>
    </row>
    <row r="794">
      <c r="A794" s="24"/>
      <c r="B794" s="24"/>
      <c r="C794" s="62"/>
      <c r="D794" s="62"/>
      <c r="E794" s="62"/>
      <c r="F794" s="62"/>
    </row>
    <row r="795">
      <c r="A795" s="24"/>
      <c r="B795" s="24"/>
      <c r="C795" s="62"/>
      <c r="D795" s="62"/>
      <c r="E795" s="62"/>
      <c r="F795" s="62"/>
    </row>
    <row r="796">
      <c r="A796" s="24"/>
      <c r="B796" s="24"/>
      <c r="C796" s="62"/>
      <c r="D796" s="62"/>
      <c r="E796" s="62"/>
      <c r="F796" s="62"/>
    </row>
    <row r="797">
      <c r="A797" s="24"/>
      <c r="B797" s="24"/>
      <c r="C797" s="62"/>
      <c r="D797" s="62"/>
      <c r="E797" s="62"/>
      <c r="F797" s="62"/>
    </row>
    <row r="798">
      <c r="A798" s="24"/>
      <c r="B798" s="24"/>
      <c r="C798" s="62"/>
      <c r="D798" s="62"/>
      <c r="E798" s="62"/>
      <c r="F798" s="62"/>
    </row>
    <row r="799">
      <c r="A799" s="24"/>
      <c r="B799" s="24"/>
      <c r="C799" s="62"/>
      <c r="D799" s="62"/>
      <c r="E799" s="62"/>
      <c r="F799" s="62"/>
    </row>
    <row r="800">
      <c r="A800" s="24"/>
      <c r="B800" s="24"/>
      <c r="C800" s="62"/>
      <c r="D800" s="62"/>
      <c r="E800" s="62"/>
      <c r="F800" s="62"/>
    </row>
    <row r="801">
      <c r="A801" s="24"/>
      <c r="B801" s="24"/>
      <c r="C801" s="62"/>
      <c r="D801" s="62"/>
      <c r="E801" s="62"/>
      <c r="F801" s="62"/>
    </row>
    <row r="802">
      <c r="A802" s="24"/>
      <c r="B802" s="24"/>
      <c r="C802" s="62"/>
      <c r="D802" s="62"/>
      <c r="E802" s="62"/>
      <c r="F802" s="62"/>
    </row>
    <row r="803">
      <c r="A803" s="24"/>
      <c r="B803" s="24"/>
      <c r="C803" s="62"/>
      <c r="D803" s="62"/>
      <c r="E803" s="62"/>
      <c r="F803" s="62"/>
    </row>
    <row r="804">
      <c r="A804" s="24"/>
      <c r="B804" s="24"/>
      <c r="C804" s="62"/>
      <c r="D804" s="62"/>
      <c r="E804" s="62"/>
      <c r="F804" s="62"/>
    </row>
    <row r="805">
      <c r="A805" s="24"/>
      <c r="B805" s="24"/>
      <c r="C805" s="62"/>
      <c r="D805" s="62"/>
      <c r="E805" s="62"/>
      <c r="F805" s="62"/>
    </row>
    <row r="806">
      <c r="A806" s="24"/>
      <c r="B806" s="24"/>
      <c r="C806" s="62"/>
      <c r="D806" s="62"/>
      <c r="E806" s="62"/>
      <c r="F806" s="62"/>
    </row>
    <row r="807">
      <c r="A807" s="24"/>
      <c r="B807" s="24"/>
      <c r="C807" s="62"/>
      <c r="D807" s="62"/>
      <c r="E807" s="62"/>
      <c r="F807" s="62"/>
    </row>
    <row r="808">
      <c r="A808" s="24"/>
      <c r="B808" s="24"/>
      <c r="C808" s="62"/>
      <c r="D808" s="62"/>
      <c r="E808" s="62"/>
      <c r="F808" s="62"/>
    </row>
    <row r="809">
      <c r="A809" s="24"/>
      <c r="B809" s="24"/>
      <c r="C809" s="62"/>
      <c r="D809" s="62"/>
      <c r="E809" s="62"/>
      <c r="F809" s="62"/>
    </row>
    <row r="810">
      <c r="A810" s="24"/>
      <c r="B810" s="24"/>
      <c r="C810" s="62"/>
      <c r="D810" s="62"/>
      <c r="E810" s="62"/>
      <c r="F810" s="62"/>
    </row>
    <row r="811">
      <c r="A811" s="24"/>
      <c r="B811" s="24"/>
      <c r="C811" s="62"/>
      <c r="D811" s="62"/>
      <c r="E811" s="62"/>
      <c r="F811" s="62"/>
    </row>
    <row r="812">
      <c r="A812" s="24"/>
      <c r="B812" s="24"/>
      <c r="C812" s="62"/>
      <c r="D812" s="62"/>
      <c r="E812" s="62"/>
      <c r="F812" s="62"/>
    </row>
    <row r="813">
      <c r="A813" s="24"/>
      <c r="B813" s="24"/>
      <c r="C813" s="62"/>
      <c r="D813" s="62"/>
      <c r="E813" s="62"/>
      <c r="F813" s="62"/>
    </row>
    <row r="814">
      <c r="A814" s="24"/>
      <c r="B814" s="24"/>
      <c r="C814" s="62"/>
      <c r="D814" s="62"/>
      <c r="E814" s="62"/>
      <c r="F814" s="62"/>
    </row>
    <row r="815">
      <c r="A815" s="24"/>
      <c r="B815" s="24"/>
      <c r="C815" s="62"/>
      <c r="D815" s="62"/>
      <c r="E815" s="62"/>
      <c r="F815" s="62"/>
    </row>
    <row r="816">
      <c r="A816" s="24"/>
      <c r="B816" s="24"/>
      <c r="C816" s="62"/>
      <c r="D816" s="62"/>
      <c r="E816" s="62"/>
      <c r="F816" s="62"/>
    </row>
    <row r="817">
      <c r="A817" s="24"/>
      <c r="B817" s="24"/>
      <c r="C817" s="62"/>
      <c r="D817" s="62"/>
      <c r="E817" s="62"/>
      <c r="F817" s="62"/>
    </row>
    <row r="818">
      <c r="A818" s="24"/>
      <c r="B818" s="24"/>
      <c r="C818" s="62"/>
      <c r="D818" s="62"/>
      <c r="E818" s="62"/>
      <c r="F818" s="62"/>
    </row>
    <row r="819">
      <c r="A819" s="24"/>
      <c r="B819" s="24"/>
      <c r="C819" s="62"/>
      <c r="D819" s="62"/>
      <c r="E819" s="62"/>
      <c r="F819" s="62"/>
    </row>
    <row r="820">
      <c r="A820" s="24"/>
      <c r="B820" s="24"/>
      <c r="C820" s="62"/>
      <c r="D820" s="62"/>
      <c r="E820" s="62"/>
      <c r="F820" s="62"/>
    </row>
    <row r="821">
      <c r="A821" s="24"/>
      <c r="B821" s="24"/>
      <c r="C821" s="62"/>
      <c r="D821" s="62"/>
      <c r="E821" s="62"/>
      <c r="F821" s="62"/>
    </row>
    <row r="822">
      <c r="A822" s="24"/>
      <c r="B822" s="24"/>
      <c r="C822" s="62"/>
      <c r="D822" s="62"/>
      <c r="E822" s="62"/>
      <c r="F822" s="62"/>
    </row>
    <row r="823">
      <c r="A823" s="24"/>
      <c r="B823" s="24"/>
      <c r="C823" s="62"/>
      <c r="D823" s="62"/>
      <c r="E823" s="62"/>
      <c r="F823" s="62"/>
    </row>
    <row r="824">
      <c r="A824" s="24"/>
      <c r="B824" s="24"/>
      <c r="C824" s="62"/>
      <c r="D824" s="62"/>
      <c r="E824" s="62"/>
      <c r="F824" s="62"/>
    </row>
    <row r="825">
      <c r="A825" s="24"/>
      <c r="B825" s="24"/>
      <c r="C825" s="62"/>
      <c r="D825" s="62"/>
      <c r="E825" s="62"/>
      <c r="F825" s="62"/>
    </row>
    <row r="826">
      <c r="A826" s="24"/>
      <c r="B826" s="24"/>
      <c r="C826" s="62"/>
      <c r="D826" s="62"/>
      <c r="E826" s="62"/>
      <c r="F826" s="62"/>
    </row>
    <row r="827">
      <c r="A827" s="24"/>
      <c r="B827" s="24"/>
      <c r="C827" s="62"/>
      <c r="D827" s="62"/>
      <c r="E827" s="62"/>
      <c r="F827" s="62"/>
    </row>
    <row r="828">
      <c r="A828" s="24"/>
      <c r="B828" s="24"/>
      <c r="C828" s="62"/>
      <c r="D828" s="62"/>
      <c r="E828" s="62"/>
      <c r="F828" s="62"/>
    </row>
    <row r="829">
      <c r="A829" s="24"/>
      <c r="B829" s="24"/>
      <c r="C829" s="62"/>
      <c r="D829" s="62"/>
      <c r="E829" s="62"/>
      <c r="F829" s="62"/>
    </row>
    <row r="830">
      <c r="A830" s="24"/>
      <c r="B830" s="24"/>
      <c r="C830" s="62"/>
      <c r="D830" s="62"/>
      <c r="E830" s="62"/>
      <c r="F830" s="62"/>
    </row>
    <row r="831">
      <c r="A831" s="24"/>
      <c r="B831" s="24"/>
      <c r="C831" s="62"/>
      <c r="D831" s="62"/>
      <c r="E831" s="62"/>
      <c r="F831" s="62"/>
    </row>
    <row r="832">
      <c r="A832" s="24"/>
      <c r="B832" s="24"/>
      <c r="C832" s="62"/>
      <c r="D832" s="62"/>
      <c r="E832" s="62"/>
      <c r="F832" s="62"/>
    </row>
    <row r="833">
      <c r="A833" s="24"/>
      <c r="B833" s="24"/>
      <c r="C833" s="62"/>
      <c r="D833" s="62"/>
      <c r="E833" s="62"/>
      <c r="F833" s="62"/>
    </row>
    <row r="834">
      <c r="A834" s="24"/>
      <c r="B834" s="24"/>
      <c r="C834" s="62"/>
      <c r="D834" s="62"/>
      <c r="E834" s="62"/>
      <c r="F834" s="62"/>
    </row>
    <row r="835">
      <c r="A835" s="24"/>
      <c r="B835" s="24"/>
      <c r="C835" s="62"/>
      <c r="D835" s="62"/>
      <c r="E835" s="62"/>
      <c r="F835" s="62"/>
    </row>
    <row r="836">
      <c r="A836" s="24"/>
      <c r="B836" s="24"/>
      <c r="C836" s="62"/>
      <c r="D836" s="62"/>
      <c r="E836" s="62"/>
      <c r="F836" s="62"/>
    </row>
    <row r="837">
      <c r="A837" s="24"/>
      <c r="B837" s="24"/>
      <c r="C837" s="62"/>
      <c r="D837" s="62"/>
      <c r="E837" s="62"/>
      <c r="F837" s="62"/>
    </row>
    <row r="838">
      <c r="A838" s="24"/>
      <c r="B838" s="24"/>
      <c r="C838" s="62"/>
      <c r="D838" s="62"/>
      <c r="E838" s="62"/>
      <c r="F838" s="62"/>
    </row>
    <row r="839">
      <c r="A839" s="24"/>
      <c r="B839" s="24"/>
      <c r="C839" s="62"/>
      <c r="D839" s="62"/>
      <c r="E839" s="62"/>
      <c r="F839" s="62"/>
    </row>
    <row r="840">
      <c r="A840" s="24"/>
      <c r="B840" s="24"/>
      <c r="C840" s="62"/>
      <c r="D840" s="62"/>
      <c r="E840" s="62"/>
      <c r="F840" s="62"/>
    </row>
    <row r="841">
      <c r="A841" s="24"/>
      <c r="B841" s="24"/>
      <c r="C841" s="62"/>
      <c r="D841" s="62"/>
      <c r="E841" s="62"/>
      <c r="F841" s="62"/>
    </row>
    <row r="842">
      <c r="A842" s="24"/>
      <c r="B842" s="24"/>
      <c r="C842" s="62"/>
      <c r="D842" s="62"/>
      <c r="E842" s="62"/>
      <c r="F842" s="62"/>
    </row>
    <row r="843">
      <c r="A843" s="24"/>
      <c r="B843" s="24"/>
      <c r="C843" s="62"/>
      <c r="D843" s="62"/>
      <c r="E843" s="62"/>
      <c r="F843" s="62"/>
    </row>
    <row r="844">
      <c r="A844" s="24"/>
      <c r="B844" s="24"/>
      <c r="C844" s="62"/>
      <c r="D844" s="62"/>
      <c r="E844" s="62"/>
      <c r="F844" s="62"/>
    </row>
    <row r="845">
      <c r="A845" s="24"/>
      <c r="B845" s="24"/>
      <c r="C845" s="62"/>
      <c r="D845" s="62"/>
      <c r="E845" s="62"/>
      <c r="F845" s="62"/>
    </row>
    <row r="846">
      <c r="A846" s="24"/>
      <c r="B846" s="24"/>
      <c r="C846" s="62"/>
      <c r="D846" s="62"/>
      <c r="E846" s="62"/>
      <c r="F846" s="62"/>
    </row>
    <row r="847">
      <c r="A847" s="24"/>
      <c r="B847" s="24"/>
      <c r="C847" s="62"/>
      <c r="D847" s="62"/>
      <c r="E847" s="62"/>
      <c r="F847" s="62"/>
    </row>
    <row r="848">
      <c r="A848" s="24"/>
      <c r="B848" s="24"/>
      <c r="C848" s="62"/>
      <c r="D848" s="62"/>
      <c r="E848" s="62"/>
      <c r="F848" s="62"/>
    </row>
    <row r="849">
      <c r="A849" s="24"/>
      <c r="B849" s="24"/>
      <c r="C849" s="62"/>
      <c r="D849" s="62"/>
      <c r="E849" s="62"/>
      <c r="F849" s="62"/>
    </row>
    <row r="850">
      <c r="A850" s="24"/>
      <c r="B850" s="24"/>
      <c r="C850" s="62"/>
      <c r="D850" s="62"/>
      <c r="E850" s="62"/>
      <c r="F850" s="62"/>
    </row>
    <row r="851">
      <c r="A851" s="24"/>
      <c r="B851" s="24"/>
      <c r="C851" s="62"/>
      <c r="D851" s="62"/>
      <c r="E851" s="62"/>
      <c r="F851" s="62"/>
    </row>
    <row r="852">
      <c r="A852" s="24"/>
      <c r="B852" s="24"/>
      <c r="C852" s="62"/>
      <c r="D852" s="62"/>
      <c r="E852" s="62"/>
      <c r="F852" s="62"/>
    </row>
    <row r="853">
      <c r="A853" s="24"/>
      <c r="B853" s="24"/>
      <c r="C853" s="62"/>
      <c r="D853" s="62"/>
      <c r="E853" s="62"/>
      <c r="F853" s="62"/>
    </row>
    <row r="854">
      <c r="A854" s="24"/>
      <c r="B854" s="24"/>
      <c r="C854" s="62"/>
      <c r="D854" s="62"/>
      <c r="E854" s="62"/>
      <c r="F854" s="62"/>
    </row>
    <row r="855">
      <c r="A855" s="24"/>
      <c r="B855" s="24"/>
      <c r="C855" s="62"/>
      <c r="D855" s="62"/>
      <c r="E855" s="62"/>
      <c r="F855" s="62"/>
    </row>
    <row r="856">
      <c r="A856" s="24"/>
      <c r="B856" s="24"/>
      <c r="C856" s="62"/>
      <c r="D856" s="62"/>
      <c r="E856" s="62"/>
      <c r="F856" s="62"/>
    </row>
    <row r="857">
      <c r="A857" s="24"/>
      <c r="B857" s="24"/>
      <c r="C857" s="62"/>
      <c r="D857" s="62"/>
      <c r="E857" s="62"/>
      <c r="F857" s="62"/>
    </row>
    <row r="858">
      <c r="A858" s="24"/>
      <c r="B858" s="24"/>
      <c r="C858" s="62"/>
      <c r="D858" s="62"/>
      <c r="E858" s="62"/>
      <c r="F858" s="62"/>
    </row>
    <row r="859">
      <c r="A859" s="24"/>
      <c r="B859" s="24"/>
      <c r="C859" s="62"/>
      <c r="D859" s="62"/>
      <c r="E859" s="62"/>
      <c r="F859" s="62"/>
    </row>
    <row r="860">
      <c r="A860" s="24"/>
      <c r="B860" s="24"/>
      <c r="C860" s="62"/>
      <c r="D860" s="62"/>
      <c r="E860" s="62"/>
      <c r="F860" s="62"/>
    </row>
    <row r="861">
      <c r="A861" s="24"/>
      <c r="B861" s="24"/>
      <c r="C861" s="62"/>
      <c r="D861" s="62"/>
      <c r="E861" s="62"/>
      <c r="F861" s="62"/>
    </row>
    <row r="862">
      <c r="A862" s="24"/>
      <c r="B862" s="24"/>
      <c r="C862" s="62"/>
      <c r="D862" s="62"/>
      <c r="E862" s="62"/>
      <c r="F862" s="62"/>
    </row>
    <row r="863">
      <c r="A863" s="24"/>
      <c r="B863" s="24"/>
      <c r="C863" s="62"/>
      <c r="D863" s="62"/>
      <c r="E863" s="62"/>
      <c r="F863" s="62"/>
    </row>
    <row r="864">
      <c r="A864" s="24"/>
      <c r="B864" s="24"/>
      <c r="C864" s="62"/>
      <c r="D864" s="62"/>
      <c r="E864" s="62"/>
      <c r="F864" s="62"/>
    </row>
    <row r="865">
      <c r="A865" s="24"/>
      <c r="B865" s="24"/>
      <c r="C865" s="62"/>
      <c r="D865" s="62"/>
      <c r="E865" s="62"/>
      <c r="F865" s="62"/>
    </row>
    <row r="866">
      <c r="A866" s="24"/>
      <c r="B866" s="24"/>
      <c r="C866" s="62"/>
      <c r="D866" s="62"/>
      <c r="E866" s="62"/>
      <c r="F866" s="62"/>
    </row>
    <row r="867">
      <c r="A867" s="24"/>
      <c r="B867" s="24"/>
      <c r="C867" s="62"/>
      <c r="D867" s="62"/>
      <c r="E867" s="62"/>
      <c r="F867" s="62"/>
    </row>
    <row r="868">
      <c r="A868" s="24"/>
      <c r="B868" s="24"/>
      <c r="C868" s="62"/>
      <c r="D868" s="62"/>
      <c r="E868" s="62"/>
      <c r="F868" s="62"/>
    </row>
    <row r="869">
      <c r="A869" s="24"/>
      <c r="B869" s="24"/>
      <c r="C869" s="62"/>
      <c r="D869" s="62"/>
      <c r="E869" s="62"/>
      <c r="F869" s="62"/>
    </row>
    <row r="870">
      <c r="A870" s="24"/>
      <c r="B870" s="24"/>
      <c r="C870" s="62"/>
      <c r="D870" s="62"/>
      <c r="E870" s="62"/>
      <c r="F870" s="62"/>
    </row>
    <row r="871">
      <c r="A871" s="24"/>
      <c r="B871" s="24"/>
      <c r="C871" s="62"/>
      <c r="D871" s="62"/>
      <c r="E871" s="62"/>
      <c r="F871" s="62"/>
    </row>
    <row r="872">
      <c r="A872" s="24"/>
      <c r="B872" s="24"/>
      <c r="C872" s="62"/>
      <c r="D872" s="62"/>
      <c r="E872" s="62"/>
      <c r="F872" s="62"/>
    </row>
    <row r="873">
      <c r="A873" s="24"/>
      <c r="B873" s="24"/>
      <c r="C873" s="62"/>
      <c r="D873" s="62"/>
      <c r="E873" s="62"/>
      <c r="F873" s="62"/>
    </row>
    <row r="874">
      <c r="A874" s="24"/>
      <c r="B874" s="24"/>
      <c r="C874" s="62"/>
      <c r="D874" s="62"/>
      <c r="E874" s="62"/>
      <c r="F874" s="62"/>
    </row>
    <row r="875">
      <c r="A875" s="24"/>
      <c r="B875" s="24"/>
      <c r="C875" s="62"/>
      <c r="D875" s="62"/>
      <c r="E875" s="62"/>
      <c r="F875" s="62"/>
    </row>
    <row r="876">
      <c r="A876" s="24"/>
      <c r="B876" s="24"/>
      <c r="C876" s="62"/>
      <c r="D876" s="62"/>
      <c r="E876" s="62"/>
      <c r="F876" s="62"/>
    </row>
    <row r="877">
      <c r="A877" s="24"/>
      <c r="B877" s="24"/>
      <c r="C877" s="62"/>
      <c r="D877" s="62"/>
      <c r="E877" s="62"/>
      <c r="F877" s="62"/>
    </row>
    <row r="878">
      <c r="A878" s="24"/>
      <c r="B878" s="24"/>
      <c r="C878" s="62"/>
      <c r="D878" s="62"/>
      <c r="E878" s="62"/>
      <c r="F878" s="62"/>
    </row>
    <row r="879">
      <c r="A879" s="24"/>
      <c r="B879" s="24"/>
      <c r="C879" s="62"/>
      <c r="D879" s="62"/>
      <c r="E879" s="62"/>
      <c r="F879" s="62"/>
    </row>
    <row r="880">
      <c r="A880" s="24"/>
      <c r="B880" s="24"/>
      <c r="C880" s="62"/>
      <c r="D880" s="62"/>
      <c r="E880" s="62"/>
      <c r="F880" s="62"/>
    </row>
    <row r="881">
      <c r="A881" s="24"/>
      <c r="B881" s="24"/>
      <c r="C881" s="62"/>
      <c r="D881" s="62"/>
      <c r="E881" s="62"/>
      <c r="F881" s="62"/>
    </row>
    <row r="882">
      <c r="A882" s="24"/>
      <c r="B882" s="24"/>
      <c r="C882" s="62"/>
      <c r="D882" s="62"/>
      <c r="E882" s="62"/>
      <c r="F882" s="62"/>
    </row>
    <row r="883">
      <c r="A883" s="24"/>
      <c r="B883" s="24"/>
      <c r="C883" s="62"/>
      <c r="D883" s="62"/>
      <c r="E883" s="62"/>
      <c r="F883" s="62"/>
    </row>
    <row r="884">
      <c r="A884" s="24"/>
      <c r="B884" s="24"/>
      <c r="C884" s="62"/>
      <c r="D884" s="62"/>
      <c r="E884" s="62"/>
      <c r="F884" s="62"/>
    </row>
    <row r="885">
      <c r="A885" s="24"/>
      <c r="B885" s="24"/>
      <c r="C885" s="62"/>
      <c r="D885" s="62"/>
      <c r="E885" s="62"/>
      <c r="F885" s="62"/>
    </row>
    <row r="886">
      <c r="A886" s="24"/>
      <c r="B886" s="24"/>
      <c r="C886" s="62"/>
      <c r="D886" s="62"/>
      <c r="E886" s="62"/>
      <c r="F886" s="62"/>
    </row>
    <row r="887">
      <c r="A887" s="24"/>
      <c r="B887" s="24"/>
      <c r="C887" s="62"/>
      <c r="D887" s="62"/>
      <c r="E887" s="62"/>
      <c r="F887" s="62"/>
    </row>
    <row r="888">
      <c r="A888" s="24"/>
      <c r="B888" s="24"/>
      <c r="C888" s="62"/>
      <c r="D888" s="62"/>
      <c r="E888" s="62"/>
      <c r="F888" s="62"/>
    </row>
    <row r="889">
      <c r="A889" s="24"/>
      <c r="B889" s="24"/>
      <c r="C889" s="62"/>
      <c r="D889" s="62"/>
      <c r="E889" s="62"/>
      <c r="F889" s="62"/>
    </row>
    <row r="890">
      <c r="A890" s="24"/>
      <c r="B890" s="24"/>
      <c r="C890" s="62"/>
      <c r="D890" s="62"/>
      <c r="E890" s="62"/>
      <c r="F890" s="62"/>
    </row>
    <row r="891">
      <c r="A891" s="24"/>
      <c r="B891" s="24"/>
      <c r="C891" s="62"/>
      <c r="D891" s="62"/>
      <c r="E891" s="62"/>
      <c r="F891" s="62"/>
    </row>
    <row r="892">
      <c r="A892" s="24"/>
      <c r="B892" s="24"/>
      <c r="C892" s="62"/>
      <c r="D892" s="62"/>
      <c r="E892" s="62"/>
      <c r="F892" s="62"/>
    </row>
    <row r="893">
      <c r="A893" s="24"/>
      <c r="B893" s="24"/>
      <c r="C893" s="62"/>
      <c r="D893" s="62"/>
      <c r="E893" s="62"/>
      <c r="F893" s="62"/>
    </row>
    <row r="894">
      <c r="A894" s="24"/>
      <c r="B894" s="24"/>
      <c r="C894" s="62"/>
      <c r="D894" s="62"/>
      <c r="E894" s="62"/>
      <c r="F894" s="62"/>
    </row>
    <row r="895">
      <c r="A895" s="24"/>
      <c r="B895" s="24"/>
      <c r="C895" s="62"/>
      <c r="D895" s="62"/>
      <c r="E895" s="62"/>
      <c r="F895" s="62"/>
    </row>
    <row r="896">
      <c r="A896" s="24"/>
      <c r="B896" s="24"/>
      <c r="C896" s="62"/>
      <c r="D896" s="62"/>
      <c r="E896" s="62"/>
      <c r="F896" s="62"/>
    </row>
    <row r="897">
      <c r="A897" s="24"/>
      <c r="B897" s="24"/>
      <c r="C897" s="62"/>
      <c r="D897" s="62"/>
      <c r="E897" s="62"/>
      <c r="F897" s="62"/>
    </row>
    <row r="898">
      <c r="A898" s="24"/>
      <c r="B898" s="24"/>
      <c r="C898" s="62"/>
      <c r="D898" s="62"/>
      <c r="E898" s="62"/>
      <c r="F898" s="62"/>
    </row>
    <row r="899">
      <c r="A899" s="24"/>
      <c r="B899" s="24"/>
      <c r="C899" s="62"/>
      <c r="D899" s="62"/>
      <c r="E899" s="62"/>
      <c r="F899" s="62"/>
    </row>
    <row r="900">
      <c r="A900" s="24"/>
      <c r="B900" s="24"/>
      <c r="C900" s="62"/>
      <c r="D900" s="62"/>
      <c r="E900" s="62"/>
      <c r="F900" s="62"/>
    </row>
    <row r="901">
      <c r="A901" s="24"/>
      <c r="B901" s="24"/>
      <c r="C901" s="62"/>
      <c r="D901" s="62"/>
      <c r="E901" s="62"/>
      <c r="F901" s="62"/>
    </row>
    <row r="902">
      <c r="A902" s="24"/>
      <c r="B902" s="24"/>
      <c r="C902" s="62"/>
      <c r="D902" s="62"/>
      <c r="E902" s="62"/>
      <c r="F902" s="62"/>
    </row>
    <row r="903">
      <c r="A903" s="24"/>
      <c r="B903" s="24"/>
      <c r="C903" s="62"/>
      <c r="D903" s="62"/>
      <c r="E903" s="62"/>
      <c r="F903" s="62"/>
    </row>
    <row r="904">
      <c r="A904" s="24"/>
      <c r="B904" s="24"/>
      <c r="C904" s="62"/>
      <c r="D904" s="62"/>
      <c r="E904" s="62"/>
      <c r="F904" s="62"/>
    </row>
    <row r="905">
      <c r="A905" s="24"/>
      <c r="B905" s="24"/>
      <c r="C905" s="62"/>
      <c r="D905" s="62"/>
      <c r="E905" s="62"/>
      <c r="F905" s="62"/>
    </row>
    <row r="906">
      <c r="A906" s="24"/>
      <c r="B906" s="24"/>
      <c r="C906" s="62"/>
      <c r="D906" s="62"/>
      <c r="E906" s="62"/>
      <c r="F906" s="62"/>
    </row>
    <row r="907">
      <c r="A907" s="24"/>
      <c r="B907" s="24"/>
      <c r="C907" s="62"/>
      <c r="D907" s="62"/>
      <c r="E907" s="62"/>
      <c r="F907" s="62"/>
    </row>
    <row r="908">
      <c r="A908" s="24"/>
      <c r="B908" s="24"/>
      <c r="C908" s="62"/>
      <c r="D908" s="62"/>
      <c r="E908" s="62"/>
      <c r="F908" s="62"/>
    </row>
    <row r="909">
      <c r="A909" s="24"/>
      <c r="B909" s="24"/>
      <c r="C909" s="62"/>
      <c r="D909" s="62"/>
      <c r="E909" s="62"/>
      <c r="F909" s="62"/>
    </row>
    <row r="910">
      <c r="A910" s="24"/>
      <c r="B910" s="24"/>
      <c r="C910" s="62"/>
      <c r="D910" s="62"/>
      <c r="E910" s="62"/>
      <c r="F910" s="62"/>
    </row>
    <row r="911">
      <c r="A911" s="24"/>
      <c r="B911" s="24"/>
      <c r="C911" s="62"/>
      <c r="D911" s="62"/>
      <c r="E911" s="62"/>
      <c r="F911" s="62"/>
    </row>
    <row r="912">
      <c r="A912" s="24"/>
      <c r="B912" s="24"/>
      <c r="C912" s="62"/>
      <c r="D912" s="62"/>
      <c r="E912" s="62"/>
      <c r="F912" s="62"/>
    </row>
    <row r="913">
      <c r="A913" s="24"/>
      <c r="B913" s="24"/>
      <c r="C913" s="62"/>
      <c r="D913" s="62"/>
      <c r="E913" s="62"/>
      <c r="F913" s="62"/>
    </row>
    <row r="914">
      <c r="A914" s="24"/>
      <c r="B914" s="24"/>
      <c r="C914" s="62"/>
      <c r="D914" s="62"/>
      <c r="E914" s="62"/>
      <c r="F914" s="62"/>
    </row>
    <row r="915">
      <c r="A915" s="24"/>
      <c r="B915" s="24"/>
      <c r="C915" s="62"/>
      <c r="D915" s="62"/>
      <c r="E915" s="62"/>
      <c r="F915" s="62"/>
    </row>
    <row r="916">
      <c r="A916" s="24"/>
      <c r="B916" s="24"/>
      <c r="C916" s="62"/>
      <c r="D916" s="62"/>
      <c r="E916" s="62"/>
      <c r="F916" s="62"/>
    </row>
    <row r="917">
      <c r="A917" s="24"/>
      <c r="B917" s="24"/>
      <c r="C917" s="62"/>
      <c r="D917" s="62"/>
      <c r="E917" s="62"/>
      <c r="F917" s="62"/>
    </row>
    <row r="918">
      <c r="A918" s="24"/>
      <c r="B918" s="24"/>
      <c r="C918" s="62"/>
      <c r="D918" s="62"/>
      <c r="E918" s="62"/>
      <c r="F918" s="62"/>
    </row>
    <row r="919">
      <c r="A919" s="24"/>
      <c r="B919" s="24"/>
      <c r="C919" s="62"/>
      <c r="D919" s="62"/>
      <c r="E919" s="62"/>
      <c r="F919" s="62"/>
    </row>
  </sheetData>
  <mergeCells count="2">
    <mergeCell ref="A1:C1"/>
    <mergeCell ref="D1:F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